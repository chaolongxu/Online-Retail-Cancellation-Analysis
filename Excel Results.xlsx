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chaol\Desktop\PORTFOLIO\SQL\"/>
    </mc:Choice>
  </mc:AlternateContent>
  <xr:revisionPtr revIDLastSave="0" documentId="13_ncr:1_{25CDBF49-ECB3-4FBE-8CBD-958BA038294F}" xr6:coauthVersionLast="47" xr6:coauthVersionMax="47" xr10:uidLastSave="{00000000-0000-0000-0000-000000000000}"/>
  <bookViews>
    <workbookView xWindow="-108" yWindow="-108" windowWidth="24792" windowHeight="14856" xr2:uid="{BE87BD74-1CD3-482F-86BD-3C045316472E}"/>
  </bookViews>
  <sheets>
    <sheet name="Dashboard" sheetId="9" r:id="rId1"/>
    <sheet name="KPI" sheetId="10" r:id="rId2"/>
    <sheet name="Revenue Month" sheetId="1" r:id="rId3"/>
    <sheet name="Revenue Country" sheetId="3" r:id="rId4"/>
    <sheet name="Top10 products" sheetId="4" r:id="rId5"/>
    <sheet name="Top5 cusotmers" sheetId="5" r:id="rId6"/>
    <sheet name="Top10 customers cancellation" sheetId="6" r:id="rId7"/>
    <sheet name="cancellation rate customer" sheetId="7" r:id="rId8"/>
    <sheet name="15482 csutome analysis" sheetId="8" r:id="rId9"/>
  </sheets>
  <definedNames>
    <definedName name="_xlcn.WorksheetConnection_RevenueCountryA1B391" hidden="1">'Revenue Country'!$A$1:$B$39</definedName>
  </definedNames>
  <calcPr calcId="18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evenue Country!$A$1:$B$39"/>
        </x15:modelTables>
      </x15:dataModel>
    </ext>
  </extLst>
</workbook>
</file>

<file path=xl/calcChain.xml><?xml version="1.0" encoding="utf-8"?>
<calcChain xmlns="http://schemas.openxmlformats.org/spreadsheetml/2006/main">
  <c r="C9"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632706-349E-4FC9-A4DF-7E5D7CEFB6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8C5208F-2FA5-4F31-9BD3-E3491DD99A4E}" name="WorksheetConnection_Revenue Country!$A$1:$B$39" type="102" refreshedVersion="8" minRefreshableVersion="5">
    <extLst>
      <ext xmlns:x15="http://schemas.microsoft.com/office/spreadsheetml/2010/11/main" uri="{DE250136-89BD-433C-8126-D09CA5730AF9}">
        <x15:connection id="Range">
          <x15:rangePr sourceName="_xlcn.WorksheetConnection_RevenueCountryA1B391"/>
        </x15:connection>
      </ext>
    </extLst>
  </connection>
</connections>
</file>

<file path=xl/sharedStrings.xml><?xml version="1.0" encoding="utf-8"?>
<sst xmlns="http://schemas.openxmlformats.org/spreadsheetml/2006/main" count="373" uniqueCount="136">
  <si>
    <t>MonthStart</t>
  </si>
  <si>
    <t>NetRevenue</t>
  </si>
  <si>
    <t>PreviousMonthRevenue</t>
  </si>
  <si>
    <t>RevenueChangePct</t>
  </si>
  <si>
    <t>Country</t>
  </si>
  <si>
    <t>UNITED KINGDOM</t>
  </si>
  <si>
    <t>NETHERLANDS</t>
  </si>
  <si>
    <t>IRELAND</t>
  </si>
  <si>
    <t>GERMANY</t>
  </si>
  <si>
    <t>FRANCE</t>
  </si>
  <si>
    <t>AUSTRALIA</t>
  </si>
  <si>
    <t>SWITZERLAND</t>
  </si>
  <si>
    <t>SPAIN</t>
  </si>
  <si>
    <t>BELGIUM</t>
  </si>
  <si>
    <t>JAPAN</t>
  </si>
  <si>
    <t>SWEDEN</t>
  </si>
  <si>
    <t>NORWAY</t>
  </si>
  <si>
    <t>PORTUGAL</t>
  </si>
  <si>
    <t>CHANNEL ISLANDS</t>
  </si>
  <si>
    <t>FINLAND</t>
  </si>
  <si>
    <t>DENMARK</t>
  </si>
  <si>
    <t>ITALY</t>
  </si>
  <si>
    <t>CYPRUS</t>
  </si>
  <si>
    <t>HONG KONG</t>
  </si>
  <si>
    <t>SINGAPORE</t>
  </si>
  <si>
    <t>AUSTRIA</t>
  </si>
  <si>
    <t>ISRAEL</t>
  </si>
  <si>
    <t>POLAND</t>
  </si>
  <si>
    <t>UNSPECIFIED</t>
  </si>
  <si>
    <t>GREECE</t>
  </si>
  <si>
    <t>ICELAND</t>
  </si>
  <si>
    <t>CANADA</t>
  </si>
  <si>
    <t>MALTA</t>
  </si>
  <si>
    <t>UNITED ARAB EMIRATES</t>
  </si>
  <si>
    <t>USA</t>
  </si>
  <si>
    <t>LEBANON</t>
  </si>
  <si>
    <t>LITHUANIA</t>
  </si>
  <si>
    <t>EUROPEAN COMMUNITY</t>
  </si>
  <si>
    <t>BRAZIL</t>
  </si>
  <si>
    <t>REPUBLIC OF SOUTH AFRICA</t>
  </si>
  <si>
    <t>CZECH REPUBLIC</t>
  </si>
  <si>
    <t>BAHRAIN</t>
  </si>
  <si>
    <t>SAUDI ARABIA</t>
  </si>
  <si>
    <t>REGENCY CAKESTAND 3 TIER</t>
  </si>
  <si>
    <t>WHITE HANGING HEART T-LIGHT HOLDER</t>
  </si>
  <si>
    <t>PARTY BUNTING</t>
  </si>
  <si>
    <t>JUMBO BAG RED RETROSPOT</t>
  </si>
  <si>
    <t>RABBIT NIGHT LIGHT</t>
  </si>
  <si>
    <t>PAPER CHAIN KIT 50'S CHRISTMAS</t>
  </si>
  <si>
    <t>ASSORTED COLOUR BIRD ORNAMENT</t>
  </si>
  <si>
    <t>CHILLI LIGHTS</t>
  </si>
  <si>
    <t>SPOTTY BUNTING</t>
  </si>
  <si>
    <t>JUMBO BAG PINK POLKADOT</t>
  </si>
  <si>
    <t>ProductDescription</t>
  </si>
  <si>
    <t>CustomerID</t>
  </si>
  <si>
    <t>CancellationInvoices</t>
  </si>
  <si>
    <t>TotalCancellationValue</t>
  </si>
  <si>
    <t>SalesValue</t>
  </si>
  <si>
    <t>CancellationValue</t>
  </si>
  <si>
    <t>SalesLines</t>
  </si>
  <si>
    <t>CancellationLines</t>
  </si>
  <si>
    <t>CancellationValueRatePct</t>
  </si>
  <si>
    <t>StockCode</t>
  </si>
  <si>
    <t>SalesInvoice</t>
  </si>
  <si>
    <t>SalesQuantity</t>
  </si>
  <si>
    <t>SalesUnitPrice</t>
  </si>
  <si>
    <t>CancellationInvoice</t>
  </si>
  <si>
    <t>CancellationQuantity</t>
  </si>
  <si>
    <t>CancellationUnitPrice</t>
  </si>
  <si>
    <t>MatchStatus</t>
  </si>
  <si>
    <t>VICTORIAN  METAL POSTCARD SPRING</t>
  </si>
  <si>
    <t>C578363</t>
  </si>
  <si>
    <t>Potential match</t>
  </si>
  <si>
    <t>SALLE DE BAIN HOOK</t>
  </si>
  <si>
    <t>Sale without match</t>
  </si>
  <si>
    <t>RED RETROSPOT CAKE STAND</t>
  </si>
  <si>
    <t>SMALL RED RETROSPOT MUG IN BOX</t>
  </si>
  <si>
    <t>SMALL WHITE RETROSPOT MUG IN BOX</t>
  </si>
  <si>
    <t>CHOCOLATE HOT WATER BOTTLE</t>
  </si>
  <si>
    <t>HOT WATER BOTTLE TEA AND SYMPATHY</t>
  </si>
  <si>
    <t>METAL 4 HOOK HANGER FRENCH CHATEAU</t>
  </si>
  <si>
    <t>C574584</t>
  </si>
  <si>
    <t>POPCORN HOLDER</t>
  </si>
  <si>
    <t>C574322</t>
  </si>
  <si>
    <t>Cancellation without match</t>
  </si>
  <si>
    <t>NATURAL SLATE HEART CHALKBOARD</t>
  </si>
  <si>
    <t>SET 7 BABUSHKA NESTING BOXES</t>
  </si>
  <si>
    <t>CANDLEHOLDER PINK HANGING HEART</t>
  </si>
  <si>
    <t>PINK HANGING HEART T-LIGHT HOLDER</t>
  </si>
  <si>
    <t>HOT WATER BOTTLE I AM SO POORLY</t>
  </si>
  <si>
    <t>IVORY CHANDELIER T-LIGHT HOLDER</t>
  </si>
  <si>
    <t>C572754</t>
  </si>
  <si>
    <t>FLOWERS CHANDELIER T-LIGHT HOLDER</t>
  </si>
  <si>
    <t>BEADED CHANDELIER T-LIGHT HOLDER</t>
  </si>
  <si>
    <t>LARGE DECO JEWELLERY STAND</t>
  </si>
  <si>
    <t>MARIE ANTOINETTE TRINKET BOX GOLD</t>
  </si>
  <si>
    <t>MARIE ANTOINETTE TRINKET BOX SILVER</t>
  </si>
  <si>
    <t>JUMBO BAG VINTAGE DOILY</t>
  </si>
  <si>
    <t>JUMBO BAG 50'S CHRISTMAS</t>
  </si>
  <si>
    <t>HOT WATER BOTTLE KEEP CALM</t>
  </si>
  <si>
    <t>HOT STUFF HOT WATER BOTTLE</t>
  </si>
  <si>
    <t>HOME SWEET HOME CUSHION COVER</t>
  </si>
  <si>
    <t>BELLE JARDINIERE CUSHION COVER</t>
  </si>
  <si>
    <t>LE JARDIN BOTANIQUE CUSHION COVER</t>
  </si>
  <si>
    <t>FOOT STOOL HOME SWEET HOME</t>
  </si>
  <si>
    <t>35001G</t>
  </si>
  <si>
    <t>HAND OPEN SHAPE GOLD</t>
  </si>
  <si>
    <t>35001W</t>
  </si>
  <si>
    <t>HAND OPEN SHAPE DECO.WHITE</t>
  </si>
  <si>
    <t>46000M</t>
  </si>
  <si>
    <t>POLYESTER FILLER PAD 45x45cm</t>
  </si>
  <si>
    <t>72802B</t>
  </si>
  <si>
    <t>OCEAN SCENT CANDLE IN JEWELLED BOX</t>
  </si>
  <si>
    <t>72802C</t>
  </si>
  <si>
    <t>VANILLA SCENT CANDLE JEWELLED BOX</t>
  </si>
  <si>
    <t>WOODEN PICTURE FRAME WHITE FINISH</t>
  </si>
  <si>
    <t>WOOD 2 DRAWER CABINET WHITE FINISH</t>
  </si>
  <si>
    <t>3 DRAWER ANTIQUE WHITE WOOD CABINET</t>
  </si>
  <si>
    <t>82494L</t>
  </si>
  <si>
    <t>WOODEN FRAME ANTIQUE WHITE</t>
  </si>
  <si>
    <t>84029E</t>
  </si>
  <si>
    <t>RED WOOLLY HOTTIE WHITE HEART.</t>
  </si>
  <si>
    <t>ANTIQUE SILVER TEA GLASS ETCHED</t>
  </si>
  <si>
    <t>ANTIQUE SILVER TEA GLASS ENGRAVED</t>
  </si>
  <si>
    <t>85036C</t>
  </si>
  <si>
    <t>ROSE 1 WICK MORRIS BOXED CANDLE</t>
  </si>
  <si>
    <t>85099C</t>
  </si>
  <si>
    <t>JUMBO  BAG BAROQUE BLACK WHITE</t>
  </si>
  <si>
    <t>85123A</t>
  </si>
  <si>
    <t>NetSales</t>
  </si>
  <si>
    <t>TotalCustomers</t>
  </si>
  <si>
    <t>TotalProducts</t>
  </si>
  <si>
    <t>AverageCustomerCancellationRatePct</t>
  </si>
  <si>
    <t>GROSSSALES</t>
  </si>
  <si>
    <t>CANCELLATION_VALUE</t>
  </si>
  <si>
    <t>PERCENTAGE_CANCELLED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</si>
</sst>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7" formatCode="\£0.00,,&quot; million&quot;"/>
    <numFmt numFmtId="168" formatCode="_-[$£-809]* #,##0.00_-;\-[$£-809]* #,##0.00_-;_-[$£-809]* &quot;-&quot;??_-;_-@_-"/>
  </numFmts>
  <fonts count="2" x14ac:knownFonts="1">
    <font>
      <sz val="24"/>
      <color theme="1"/>
      <name val="Calibri"/>
      <family val="2"/>
      <scheme val="minor"/>
    </font>
    <font>
      <sz val="24"/>
      <color theme="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0" fontId="0" fillId="2" borderId="0" xfId="0" applyFill="1"/>
    <xf numFmtId="44" fontId="0" fillId="0" borderId="0" xfId="1" applyFont="1"/>
    <xf numFmtId="168" fontId="0" fillId="0" borderId="0" xfId="0" applyNumberFormat="1"/>
    <xf numFmtId="168" fontId="0" fillId="0" borderId="0" xfId="1" applyNumberFormat="1" applyFont="1"/>
    <xf numFmtId="0" fontId="0" fillId="0" borderId="1" xfId="0" applyBorder="1"/>
    <xf numFmtId="167" fontId="0" fillId="0" borderId="1" xfId="1" applyNumberFormat="1" applyFont="1" applyBorder="1"/>
    <xf numFmtId="10" fontId="0" fillId="0" borderId="1" xfId="2" applyNumberFormat="1" applyFont="1" applyBorder="1"/>
    <xf numFmtId="167" fontId="0" fillId="0" borderId="1" xfId="0" applyNumberFormat="1" applyBorder="1"/>
  </cellXfs>
  <cellStyles count="3">
    <cellStyle name="Currency" xfId="1" builtinId="4"/>
    <cellStyle name="Normal" xfId="0" builtinId="0"/>
    <cellStyle name="Percent" xfId="2" builtinId="5"/>
  </cellStyles>
  <dxfs count="3">
    <dxf>
      <font>
        <b val="0"/>
        <i val="0"/>
        <strike val="0"/>
        <condense val="0"/>
        <extend val="0"/>
        <outline val="0"/>
        <shadow val="0"/>
        <u val="none"/>
        <vertAlign val="baseline"/>
        <sz val="24"/>
        <color theme="1"/>
        <name val="Calibri"/>
        <family val="2"/>
        <scheme val="minor"/>
      </font>
      <numFmt numFmtId="168" formatCode="_-[$£-809]* #,##0.00_-;\-[$£-809]* #,##0.00_-;_-[$£-809]* &quot;-&quot;??_-;_-@_-"/>
    </dxf>
    <dxf>
      <numFmt numFmtId="168" formatCode="_-[$£-809]* #,##0.00_-;\-[$£-809]* #,##0.00_-;_-[$£-809]* &quot;-&quot;??_-;_-@_-"/>
    </dxf>
    <dxf>
      <numFmt numFmtId="168" formatCode="_-[$£-809]* #,##0.00_-;\-[$£-809]* #,##0.00_-;_-[$£-809]* &quot;-&quot;??_-;_-@_-"/>
    </dxf>
  </dxfs>
  <tableStyles count="0" defaultTableStyle="TableStyleMedium2" defaultPivotStyle="PivotStyleLight16"/>
  <colors>
    <mruColors>
      <color rgb="FF0020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400" b="1" i="0" u="none" strike="noStrike" kern="1200" spc="0" baseline="0">
                <a:solidFill>
                  <a:sysClr val="windowText" lastClr="000000"/>
                </a:solidFill>
                <a:latin typeface="+mn-lt"/>
                <a:ea typeface="+mn-ea"/>
                <a:cs typeface="+mn-cs"/>
              </a:defRPr>
            </a:pPr>
            <a:r>
              <a:rPr lang="en-US" sz="2400" b="1" i="0" u="none" strike="noStrike" kern="1200" spc="0" baseline="0">
                <a:solidFill>
                  <a:sysClr val="windowText" lastClr="000000"/>
                </a:solidFill>
                <a:latin typeface="+mn-lt"/>
                <a:ea typeface="+mn-ea"/>
                <a:cs typeface="+mn-cs"/>
              </a:rPr>
              <a:t>Revenue By Country</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ysClr val="windowText" lastClr="000000"/>
              </a:solidFill>
              <a:latin typeface="+mn-lt"/>
              <a:ea typeface="+mn-ea"/>
              <a:cs typeface="+mn-cs"/>
            </a:defRPr>
          </a:pPr>
          <a:endParaRPr lang="en-US"/>
        </a:p>
      </c:txPr>
    </c:title>
    <c:autoTitleDeleted val="0"/>
    <c:plotArea>
      <c:layout/>
      <c:pieChart>
        <c:varyColors val="1"/>
        <c:ser>
          <c:idx val="0"/>
          <c:order val="0"/>
          <c:tx>
            <c:strRef>
              <c:f>'Revenue Country'!$B$1</c:f>
              <c:strCache>
                <c:ptCount val="1"/>
                <c:pt idx="0">
                  <c:v>NetRevenue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23-4965-8C0C-E046A5C23A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23-4965-8C0C-E046A5C23A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23-4965-8C0C-E046A5C23A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23-4965-8C0C-E046A5C23A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23-4965-8C0C-E046A5C23AC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F23-4965-8C0C-E046A5C23AC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F23-4965-8C0C-E046A5C23AC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F23-4965-8C0C-E046A5C23AC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F23-4965-8C0C-E046A5C23AC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F23-4965-8C0C-E046A5C23AC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F23-4965-8C0C-E046A5C23AC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F23-4965-8C0C-E046A5C23AC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F23-4965-8C0C-E046A5C23AC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F23-4965-8C0C-E046A5C23AC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F23-4965-8C0C-E046A5C23AC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F23-4965-8C0C-E046A5C23AC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F23-4965-8C0C-E046A5C23AC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1F23-4965-8C0C-E046A5C23AC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F23-4965-8C0C-E046A5C23AC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F23-4965-8C0C-E046A5C23AC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F23-4965-8C0C-E046A5C23AC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F23-4965-8C0C-E046A5C23AC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F23-4965-8C0C-E046A5C23AC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F23-4965-8C0C-E046A5C23AC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1F23-4965-8C0C-E046A5C23AC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1F23-4965-8C0C-E046A5C23AC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1F23-4965-8C0C-E046A5C23AC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1F23-4965-8C0C-E046A5C23AC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1F23-4965-8C0C-E046A5C23AC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1F23-4965-8C0C-E046A5C23AC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1F23-4965-8C0C-E046A5C23AC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1F23-4965-8C0C-E046A5C23AC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1F23-4965-8C0C-E046A5C23AC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1F23-4965-8C0C-E046A5C23AC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1F23-4965-8C0C-E046A5C23AC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1F23-4965-8C0C-E046A5C23AC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1F23-4965-8C0C-E046A5C23AC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1F23-4965-8C0C-E046A5C23AC5}"/>
              </c:ext>
            </c:extLst>
          </c:dPt>
          <c:dLbls>
            <c:dLbl>
              <c:idx val="0"/>
              <c:layout>
                <c:manualLayout>
                  <c:x val="6.1158162332228073E-2"/>
                  <c:y val="-7.595760449088280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23-4965-8C0C-E046A5C23AC5}"/>
                </c:ext>
              </c:extLst>
            </c:dLbl>
            <c:dLbl>
              <c:idx val="1"/>
              <c:layout>
                <c:manualLayout>
                  <c:x val="-5.0737779420812118E-2"/>
                  <c:y val="0.1188092297885014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F23-4965-8C0C-E046A5C23AC5}"/>
                </c:ext>
              </c:extLst>
            </c:dLbl>
            <c:dLbl>
              <c:idx val="2"/>
              <c:layout>
                <c:manualLayout>
                  <c:x val="-9.2423423003585997E-2"/>
                  <c:y val="5.009592591366929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F23-4965-8C0C-E046A5C23AC5}"/>
                </c:ext>
              </c:extLst>
            </c:dLbl>
            <c:dLbl>
              <c:idx val="3"/>
              <c:layout>
                <c:manualLayout>
                  <c:x val="-9.9298728706529477E-2"/>
                  <c:y val="-6.1875044631893557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F23-4965-8C0C-E046A5C23AC5}"/>
                </c:ext>
              </c:extLst>
            </c:dLbl>
            <c:dLbl>
              <c:idx val="4"/>
              <c:layout>
                <c:manualLayout>
                  <c:x val="-1.158014498298637E-2"/>
                  <c:y val="-8.792199999651653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F23-4965-8C0C-E046A5C23AC5}"/>
                </c:ext>
              </c:extLst>
            </c:dLbl>
            <c:dLbl>
              <c:idx val="5"/>
              <c:delete val="1"/>
              <c:extLst>
                <c:ext xmlns:c15="http://schemas.microsoft.com/office/drawing/2012/chart" uri="{CE6537A1-D6FC-4f65-9D91-7224C49458BB}"/>
                <c:ext xmlns:c16="http://schemas.microsoft.com/office/drawing/2014/chart" uri="{C3380CC4-5D6E-409C-BE32-E72D297353CC}">
                  <c16:uniqueId val="{0000000B-1F23-4965-8C0C-E046A5C23AC5}"/>
                </c:ext>
              </c:extLst>
            </c:dLbl>
            <c:dLbl>
              <c:idx val="6"/>
              <c:delete val="1"/>
              <c:extLst>
                <c:ext xmlns:c15="http://schemas.microsoft.com/office/drawing/2012/chart" uri="{CE6537A1-D6FC-4f65-9D91-7224C49458BB}"/>
                <c:ext xmlns:c16="http://schemas.microsoft.com/office/drawing/2014/chart" uri="{C3380CC4-5D6E-409C-BE32-E72D297353CC}">
                  <c16:uniqueId val="{0000000D-1F23-4965-8C0C-E046A5C23AC5}"/>
                </c:ext>
              </c:extLst>
            </c:dLbl>
            <c:dLbl>
              <c:idx val="7"/>
              <c:delete val="1"/>
              <c:extLst>
                <c:ext xmlns:c15="http://schemas.microsoft.com/office/drawing/2012/chart" uri="{CE6537A1-D6FC-4f65-9D91-7224C49458BB}"/>
                <c:ext xmlns:c16="http://schemas.microsoft.com/office/drawing/2014/chart" uri="{C3380CC4-5D6E-409C-BE32-E72D297353CC}">
                  <c16:uniqueId val="{0000000F-1F23-4965-8C0C-E046A5C23AC5}"/>
                </c:ext>
              </c:extLst>
            </c:dLbl>
            <c:dLbl>
              <c:idx val="8"/>
              <c:delete val="1"/>
              <c:extLst>
                <c:ext xmlns:c15="http://schemas.microsoft.com/office/drawing/2012/chart" uri="{CE6537A1-D6FC-4f65-9D91-7224C49458BB}"/>
                <c:ext xmlns:c16="http://schemas.microsoft.com/office/drawing/2014/chart" uri="{C3380CC4-5D6E-409C-BE32-E72D297353CC}">
                  <c16:uniqueId val="{00000011-1F23-4965-8C0C-E046A5C23AC5}"/>
                </c:ext>
              </c:extLst>
            </c:dLbl>
            <c:dLbl>
              <c:idx val="9"/>
              <c:delete val="1"/>
              <c:extLst>
                <c:ext xmlns:c15="http://schemas.microsoft.com/office/drawing/2012/chart" uri="{CE6537A1-D6FC-4f65-9D91-7224C49458BB}"/>
                <c:ext xmlns:c16="http://schemas.microsoft.com/office/drawing/2014/chart" uri="{C3380CC4-5D6E-409C-BE32-E72D297353CC}">
                  <c16:uniqueId val="{00000013-1F23-4965-8C0C-E046A5C23AC5}"/>
                </c:ext>
              </c:extLst>
            </c:dLbl>
            <c:dLbl>
              <c:idx val="10"/>
              <c:delete val="1"/>
              <c:extLst>
                <c:ext xmlns:c15="http://schemas.microsoft.com/office/drawing/2012/chart" uri="{CE6537A1-D6FC-4f65-9D91-7224C49458BB}"/>
                <c:ext xmlns:c16="http://schemas.microsoft.com/office/drawing/2014/chart" uri="{C3380CC4-5D6E-409C-BE32-E72D297353CC}">
                  <c16:uniqueId val="{00000015-1F23-4965-8C0C-E046A5C23AC5}"/>
                </c:ext>
              </c:extLst>
            </c:dLbl>
            <c:dLbl>
              <c:idx val="11"/>
              <c:delete val="1"/>
              <c:extLst>
                <c:ext xmlns:c15="http://schemas.microsoft.com/office/drawing/2012/chart" uri="{CE6537A1-D6FC-4f65-9D91-7224C49458BB}"/>
                <c:ext xmlns:c16="http://schemas.microsoft.com/office/drawing/2014/chart" uri="{C3380CC4-5D6E-409C-BE32-E72D297353CC}">
                  <c16:uniqueId val="{00000017-1F23-4965-8C0C-E046A5C23AC5}"/>
                </c:ext>
              </c:extLst>
            </c:dLbl>
            <c:dLbl>
              <c:idx val="12"/>
              <c:delete val="1"/>
              <c:extLst>
                <c:ext xmlns:c15="http://schemas.microsoft.com/office/drawing/2012/chart" uri="{CE6537A1-D6FC-4f65-9D91-7224C49458BB}"/>
                <c:ext xmlns:c16="http://schemas.microsoft.com/office/drawing/2014/chart" uri="{C3380CC4-5D6E-409C-BE32-E72D297353CC}">
                  <c16:uniqueId val="{00000019-1F23-4965-8C0C-E046A5C23AC5}"/>
                </c:ext>
              </c:extLst>
            </c:dLbl>
            <c:dLbl>
              <c:idx val="13"/>
              <c:delete val="1"/>
              <c:extLst>
                <c:ext xmlns:c15="http://schemas.microsoft.com/office/drawing/2012/chart" uri="{CE6537A1-D6FC-4f65-9D91-7224C49458BB}"/>
                <c:ext xmlns:c16="http://schemas.microsoft.com/office/drawing/2014/chart" uri="{C3380CC4-5D6E-409C-BE32-E72D297353CC}">
                  <c16:uniqueId val="{0000001B-1F23-4965-8C0C-E046A5C23AC5}"/>
                </c:ext>
              </c:extLst>
            </c:dLbl>
            <c:dLbl>
              <c:idx val="14"/>
              <c:delete val="1"/>
              <c:extLst>
                <c:ext xmlns:c15="http://schemas.microsoft.com/office/drawing/2012/chart" uri="{CE6537A1-D6FC-4f65-9D91-7224C49458BB}"/>
                <c:ext xmlns:c16="http://schemas.microsoft.com/office/drawing/2014/chart" uri="{C3380CC4-5D6E-409C-BE32-E72D297353CC}">
                  <c16:uniqueId val="{0000001D-1F23-4965-8C0C-E046A5C23AC5}"/>
                </c:ext>
              </c:extLst>
            </c:dLbl>
            <c:dLbl>
              <c:idx val="15"/>
              <c:delete val="1"/>
              <c:extLst>
                <c:ext xmlns:c15="http://schemas.microsoft.com/office/drawing/2012/chart" uri="{CE6537A1-D6FC-4f65-9D91-7224C49458BB}"/>
                <c:ext xmlns:c16="http://schemas.microsoft.com/office/drawing/2014/chart" uri="{C3380CC4-5D6E-409C-BE32-E72D297353CC}">
                  <c16:uniqueId val="{0000001F-1F23-4965-8C0C-E046A5C23AC5}"/>
                </c:ext>
              </c:extLst>
            </c:dLbl>
            <c:dLbl>
              <c:idx val="16"/>
              <c:delete val="1"/>
              <c:extLst>
                <c:ext xmlns:c15="http://schemas.microsoft.com/office/drawing/2012/chart" uri="{CE6537A1-D6FC-4f65-9D91-7224C49458BB}"/>
                <c:ext xmlns:c16="http://schemas.microsoft.com/office/drawing/2014/chart" uri="{C3380CC4-5D6E-409C-BE32-E72D297353CC}">
                  <c16:uniqueId val="{00000021-1F23-4965-8C0C-E046A5C23AC5}"/>
                </c:ext>
              </c:extLst>
            </c:dLbl>
            <c:dLbl>
              <c:idx val="17"/>
              <c:delete val="1"/>
              <c:extLst>
                <c:ext xmlns:c15="http://schemas.microsoft.com/office/drawing/2012/chart" uri="{CE6537A1-D6FC-4f65-9D91-7224C49458BB}"/>
                <c:ext xmlns:c16="http://schemas.microsoft.com/office/drawing/2014/chart" uri="{C3380CC4-5D6E-409C-BE32-E72D297353CC}">
                  <c16:uniqueId val="{00000023-1F23-4965-8C0C-E046A5C23AC5}"/>
                </c:ext>
              </c:extLst>
            </c:dLbl>
            <c:dLbl>
              <c:idx val="18"/>
              <c:delete val="1"/>
              <c:extLst>
                <c:ext xmlns:c15="http://schemas.microsoft.com/office/drawing/2012/chart" uri="{CE6537A1-D6FC-4f65-9D91-7224C49458BB}"/>
                <c:ext xmlns:c16="http://schemas.microsoft.com/office/drawing/2014/chart" uri="{C3380CC4-5D6E-409C-BE32-E72D297353CC}">
                  <c16:uniqueId val="{00000025-1F23-4965-8C0C-E046A5C23AC5}"/>
                </c:ext>
              </c:extLst>
            </c:dLbl>
            <c:dLbl>
              <c:idx val="19"/>
              <c:delete val="1"/>
              <c:extLst>
                <c:ext xmlns:c15="http://schemas.microsoft.com/office/drawing/2012/chart" uri="{CE6537A1-D6FC-4f65-9D91-7224C49458BB}"/>
                <c:ext xmlns:c16="http://schemas.microsoft.com/office/drawing/2014/chart" uri="{C3380CC4-5D6E-409C-BE32-E72D297353CC}">
                  <c16:uniqueId val="{00000027-1F23-4965-8C0C-E046A5C23AC5}"/>
                </c:ext>
              </c:extLst>
            </c:dLbl>
            <c:dLbl>
              <c:idx val="20"/>
              <c:delete val="1"/>
              <c:extLst>
                <c:ext xmlns:c15="http://schemas.microsoft.com/office/drawing/2012/chart" uri="{CE6537A1-D6FC-4f65-9D91-7224C49458BB}"/>
                <c:ext xmlns:c16="http://schemas.microsoft.com/office/drawing/2014/chart" uri="{C3380CC4-5D6E-409C-BE32-E72D297353CC}">
                  <c16:uniqueId val="{00000029-1F23-4965-8C0C-E046A5C23AC5}"/>
                </c:ext>
              </c:extLst>
            </c:dLbl>
            <c:dLbl>
              <c:idx val="21"/>
              <c:delete val="1"/>
              <c:extLst>
                <c:ext xmlns:c15="http://schemas.microsoft.com/office/drawing/2012/chart" uri="{CE6537A1-D6FC-4f65-9D91-7224C49458BB}"/>
                <c:ext xmlns:c16="http://schemas.microsoft.com/office/drawing/2014/chart" uri="{C3380CC4-5D6E-409C-BE32-E72D297353CC}">
                  <c16:uniqueId val="{0000002B-1F23-4965-8C0C-E046A5C23AC5}"/>
                </c:ext>
              </c:extLst>
            </c:dLbl>
            <c:dLbl>
              <c:idx val="22"/>
              <c:delete val="1"/>
              <c:extLst>
                <c:ext xmlns:c15="http://schemas.microsoft.com/office/drawing/2012/chart" uri="{CE6537A1-D6FC-4f65-9D91-7224C49458BB}"/>
                <c:ext xmlns:c16="http://schemas.microsoft.com/office/drawing/2014/chart" uri="{C3380CC4-5D6E-409C-BE32-E72D297353CC}">
                  <c16:uniqueId val="{0000002D-1F23-4965-8C0C-E046A5C23AC5}"/>
                </c:ext>
              </c:extLst>
            </c:dLbl>
            <c:dLbl>
              <c:idx val="23"/>
              <c:delete val="1"/>
              <c:extLst>
                <c:ext xmlns:c15="http://schemas.microsoft.com/office/drawing/2012/chart" uri="{CE6537A1-D6FC-4f65-9D91-7224C49458BB}"/>
                <c:ext xmlns:c16="http://schemas.microsoft.com/office/drawing/2014/chart" uri="{C3380CC4-5D6E-409C-BE32-E72D297353CC}">
                  <c16:uniqueId val="{0000002F-1F23-4965-8C0C-E046A5C23AC5}"/>
                </c:ext>
              </c:extLst>
            </c:dLbl>
            <c:dLbl>
              <c:idx val="24"/>
              <c:delete val="1"/>
              <c:extLst>
                <c:ext xmlns:c15="http://schemas.microsoft.com/office/drawing/2012/chart" uri="{CE6537A1-D6FC-4f65-9D91-7224C49458BB}"/>
                <c:ext xmlns:c16="http://schemas.microsoft.com/office/drawing/2014/chart" uri="{C3380CC4-5D6E-409C-BE32-E72D297353CC}">
                  <c16:uniqueId val="{00000031-1F23-4965-8C0C-E046A5C23AC5}"/>
                </c:ext>
              </c:extLst>
            </c:dLbl>
            <c:dLbl>
              <c:idx val="25"/>
              <c:delete val="1"/>
              <c:extLst>
                <c:ext xmlns:c15="http://schemas.microsoft.com/office/drawing/2012/chart" uri="{CE6537A1-D6FC-4f65-9D91-7224C49458BB}"/>
                <c:ext xmlns:c16="http://schemas.microsoft.com/office/drawing/2014/chart" uri="{C3380CC4-5D6E-409C-BE32-E72D297353CC}">
                  <c16:uniqueId val="{00000033-1F23-4965-8C0C-E046A5C23AC5}"/>
                </c:ext>
              </c:extLst>
            </c:dLbl>
            <c:dLbl>
              <c:idx val="26"/>
              <c:delete val="1"/>
              <c:extLst>
                <c:ext xmlns:c15="http://schemas.microsoft.com/office/drawing/2012/chart" uri="{CE6537A1-D6FC-4f65-9D91-7224C49458BB}"/>
                <c:ext xmlns:c16="http://schemas.microsoft.com/office/drawing/2014/chart" uri="{C3380CC4-5D6E-409C-BE32-E72D297353CC}">
                  <c16:uniqueId val="{00000035-1F23-4965-8C0C-E046A5C23AC5}"/>
                </c:ext>
              </c:extLst>
            </c:dLbl>
            <c:dLbl>
              <c:idx val="27"/>
              <c:delete val="1"/>
              <c:extLst>
                <c:ext xmlns:c15="http://schemas.microsoft.com/office/drawing/2012/chart" uri="{CE6537A1-D6FC-4f65-9D91-7224C49458BB}"/>
                <c:ext xmlns:c16="http://schemas.microsoft.com/office/drawing/2014/chart" uri="{C3380CC4-5D6E-409C-BE32-E72D297353CC}">
                  <c16:uniqueId val="{00000037-1F23-4965-8C0C-E046A5C23AC5}"/>
                </c:ext>
              </c:extLst>
            </c:dLbl>
            <c:dLbl>
              <c:idx val="28"/>
              <c:delete val="1"/>
              <c:extLst>
                <c:ext xmlns:c15="http://schemas.microsoft.com/office/drawing/2012/chart" uri="{CE6537A1-D6FC-4f65-9D91-7224C49458BB}"/>
                <c:ext xmlns:c16="http://schemas.microsoft.com/office/drawing/2014/chart" uri="{C3380CC4-5D6E-409C-BE32-E72D297353CC}">
                  <c16:uniqueId val="{00000039-1F23-4965-8C0C-E046A5C23AC5}"/>
                </c:ext>
              </c:extLst>
            </c:dLbl>
            <c:dLbl>
              <c:idx val="29"/>
              <c:delete val="1"/>
              <c:extLst>
                <c:ext xmlns:c15="http://schemas.microsoft.com/office/drawing/2012/chart" uri="{CE6537A1-D6FC-4f65-9D91-7224C49458BB}"/>
                <c:ext xmlns:c16="http://schemas.microsoft.com/office/drawing/2014/chart" uri="{C3380CC4-5D6E-409C-BE32-E72D297353CC}">
                  <c16:uniqueId val="{0000003B-1F23-4965-8C0C-E046A5C23AC5}"/>
                </c:ext>
              </c:extLst>
            </c:dLbl>
            <c:dLbl>
              <c:idx val="30"/>
              <c:delete val="1"/>
              <c:extLst>
                <c:ext xmlns:c15="http://schemas.microsoft.com/office/drawing/2012/chart" uri="{CE6537A1-D6FC-4f65-9D91-7224C49458BB}"/>
                <c:ext xmlns:c16="http://schemas.microsoft.com/office/drawing/2014/chart" uri="{C3380CC4-5D6E-409C-BE32-E72D297353CC}">
                  <c16:uniqueId val="{0000003D-1F23-4965-8C0C-E046A5C23AC5}"/>
                </c:ext>
              </c:extLst>
            </c:dLbl>
            <c:dLbl>
              <c:idx val="31"/>
              <c:delete val="1"/>
              <c:extLst>
                <c:ext xmlns:c15="http://schemas.microsoft.com/office/drawing/2012/chart" uri="{CE6537A1-D6FC-4f65-9D91-7224C49458BB}"/>
                <c:ext xmlns:c16="http://schemas.microsoft.com/office/drawing/2014/chart" uri="{C3380CC4-5D6E-409C-BE32-E72D297353CC}">
                  <c16:uniqueId val="{0000003F-1F23-4965-8C0C-E046A5C23AC5}"/>
                </c:ext>
              </c:extLst>
            </c:dLbl>
            <c:dLbl>
              <c:idx val="32"/>
              <c:delete val="1"/>
              <c:extLst>
                <c:ext xmlns:c15="http://schemas.microsoft.com/office/drawing/2012/chart" uri="{CE6537A1-D6FC-4f65-9D91-7224C49458BB}"/>
                <c:ext xmlns:c16="http://schemas.microsoft.com/office/drawing/2014/chart" uri="{C3380CC4-5D6E-409C-BE32-E72D297353CC}">
                  <c16:uniqueId val="{00000041-1F23-4965-8C0C-E046A5C23AC5}"/>
                </c:ext>
              </c:extLst>
            </c:dLbl>
            <c:dLbl>
              <c:idx val="33"/>
              <c:delete val="1"/>
              <c:extLst>
                <c:ext xmlns:c15="http://schemas.microsoft.com/office/drawing/2012/chart" uri="{CE6537A1-D6FC-4f65-9D91-7224C49458BB}"/>
                <c:ext xmlns:c16="http://schemas.microsoft.com/office/drawing/2014/chart" uri="{C3380CC4-5D6E-409C-BE32-E72D297353CC}">
                  <c16:uniqueId val="{00000043-1F23-4965-8C0C-E046A5C23AC5}"/>
                </c:ext>
              </c:extLst>
            </c:dLbl>
            <c:dLbl>
              <c:idx val="34"/>
              <c:delete val="1"/>
              <c:extLst>
                <c:ext xmlns:c15="http://schemas.microsoft.com/office/drawing/2012/chart" uri="{CE6537A1-D6FC-4f65-9D91-7224C49458BB}"/>
                <c:ext xmlns:c16="http://schemas.microsoft.com/office/drawing/2014/chart" uri="{C3380CC4-5D6E-409C-BE32-E72D297353CC}">
                  <c16:uniqueId val="{00000045-1F23-4965-8C0C-E046A5C23AC5}"/>
                </c:ext>
              </c:extLst>
            </c:dLbl>
            <c:dLbl>
              <c:idx val="35"/>
              <c:delete val="1"/>
              <c:extLst>
                <c:ext xmlns:c15="http://schemas.microsoft.com/office/drawing/2012/chart" uri="{CE6537A1-D6FC-4f65-9D91-7224C49458BB}"/>
                <c:ext xmlns:c16="http://schemas.microsoft.com/office/drawing/2014/chart" uri="{C3380CC4-5D6E-409C-BE32-E72D297353CC}">
                  <c16:uniqueId val="{00000047-1F23-4965-8C0C-E046A5C23AC5}"/>
                </c:ext>
              </c:extLst>
            </c:dLbl>
            <c:dLbl>
              <c:idx val="36"/>
              <c:delete val="1"/>
              <c:extLst>
                <c:ext xmlns:c15="http://schemas.microsoft.com/office/drawing/2012/chart" uri="{CE6537A1-D6FC-4f65-9D91-7224C49458BB}"/>
                <c:ext xmlns:c16="http://schemas.microsoft.com/office/drawing/2014/chart" uri="{C3380CC4-5D6E-409C-BE32-E72D297353CC}">
                  <c16:uniqueId val="{00000049-1F23-4965-8C0C-E046A5C23AC5}"/>
                </c:ext>
              </c:extLst>
            </c:dLbl>
            <c:dLbl>
              <c:idx val="37"/>
              <c:delete val="1"/>
              <c:extLst>
                <c:ext xmlns:c15="http://schemas.microsoft.com/office/drawing/2012/chart" uri="{CE6537A1-D6FC-4f65-9D91-7224C49458BB}"/>
                <c:ext xmlns:c16="http://schemas.microsoft.com/office/drawing/2014/chart" uri="{C3380CC4-5D6E-409C-BE32-E72D297353CC}">
                  <c16:uniqueId val="{0000004B-1F23-4965-8C0C-E046A5C23AC5}"/>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Country'!$A$2:$A$39</c:f>
              <c:strCache>
                <c:ptCount val="38"/>
                <c:pt idx="0">
                  <c:v>UNITED KINGDOM</c:v>
                </c:pt>
                <c:pt idx="1">
                  <c:v>NETHERLANDS</c:v>
                </c:pt>
                <c:pt idx="2">
                  <c:v>IRELAND</c:v>
                </c:pt>
                <c:pt idx="3">
                  <c:v>GERMANY</c:v>
                </c:pt>
                <c:pt idx="4">
                  <c:v>FRANCE</c:v>
                </c:pt>
                <c:pt idx="5">
                  <c:v>AUSTRALIA</c:v>
                </c:pt>
                <c:pt idx="6">
                  <c:v>SWITZERLAND</c:v>
                </c:pt>
                <c:pt idx="7">
                  <c:v>SPAIN</c:v>
                </c:pt>
                <c:pt idx="8">
                  <c:v>BELGIUM</c:v>
                </c:pt>
                <c:pt idx="9">
                  <c:v>JAPAN</c:v>
                </c:pt>
                <c:pt idx="10">
                  <c:v>SWEDEN</c:v>
                </c:pt>
                <c:pt idx="11">
                  <c:v>NORWAY</c:v>
                </c:pt>
                <c:pt idx="12">
                  <c:v>PORTUGAL</c:v>
                </c:pt>
                <c:pt idx="13">
                  <c:v>CHANNEL ISLANDS</c:v>
                </c:pt>
                <c:pt idx="14">
                  <c:v>FINLAND</c:v>
                </c:pt>
                <c:pt idx="15">
                  <c:v>DENMARK</c:v>
                </c:pt>
                <c:pt idx="16">
                  <c:v>ITALY</c:v>
                </c:pt>
                <c:pt idx="17">
                  <c:v>CYPRUS</c:v>
                </c:pt>
                <c:pt idx="18">
                  <c:v>HONG KONG</c:v>
                </c:pt>
                <c:pt idx="19">
                  <c:v>SINGAPORE</c:v>
                </c:pt>
                <c:pt idx="20">
                  <c:v>AUSTRIA</c:v>
                </c:pt>
                <c:pt idx="21">
                  <c:v>ISRAEL</c:v>
                </c:pt>
                <c:pt idx="22">
                  <c:v>POLAND</c:v>
                </c:pt>
                <c:pt idx="23">
                  <c:v>UNSPECIFIED</c:v>
                </c:pt>
                <c:pt idx="24">
                  <c:v>GREECE</c:v>
                </c:pt>
                <c:pt idx="25">
                  <c:v>ICELAND</c:v>
                </c:pt>
                <c:pt idx="26">
                  <c:v>CANADA</c:v>
                </c:pt>
                <c:pt idx="27">
                  <c:v>MALTA</c:v>
                </c:pt>
                <c:pt idx="28">
                  <c:v>UNITED ARAB EMIRATES</c:v>
                </c:pt>
                <c:pt idx="29">
                  <c:v>USA</c:v>
                </c:pt>
                <c:pt idx="30">
                  <c:v>LEBANON</c:v>
                </c:pt>
                <c:pt idx="31">
                  <c:v>LITHUANIA</c:v>
                </c:pt>
                <c:pt idx="32">
                  <c:v>EUROPEAN COMMUNITY</c:v>
                </c:pt>
                <c:pt idx="33">
                  <c:v>BRAZIL</c:v>
                </c:pt>
                <c:pt idx="34">
                  <c:v>REPUBLIC OF SOUTH AFRICA</c:v>
                </c:pt>
                <c:pt idx="35">
                  <c:v>CZECH REPUBLIC</c:v>
                </c:pt>
                <c:pt idx="36">
                  <c:v>BAHRAIN</c:v>
                </c:pt>
                <c:pt idx="37">
                  <c:v>SAUDI ARABIA</c:v>
                </c:pt>
              </c:strCache>
            </c:strRef>
          </c:cat>
          <c:val>
            <c:numRef>
              <c:f>'Revenue Country'!$B$2:$B$39</c:f>
              <c:numCache>
                <c:formatCode>General</c:formatCode>
                <c:ptCount val="38"/>
                <c:pt idx="0">
                  <c:v>8053376.1299999999</c:v>
                </c:pt>
                <c:pt idx="1">
                  <c:v>283479.53999999998</c:v>
                </c:pt>
                <c:pt idx="2">
                  <c:v>259380.02</c:v>
                </c:pt>
                <c:pt idx="3">
                  <c:v>200619.66</c:v>
                </c:pt>
                <c:pt idx="4">
                  <c:v>182076.6</c:v>
                </c:pt>
                <c:pt idx="5">
                  <c:v>136922.5</c:v>
                </c:pt>
                <c:pt idx="6">
                  <c:v>52483.05</c:v>
                </c:pt>
                <c:pt idx="7">
                  <c:v>51746.65</c:v>
                </c:pt>
                <c:pt idx="8">
                  <c:v>36662.959999999999</c:v>
                </c:pt>
                <c:pt idx="9">
                  <c:v>35419.79</c:v>
                </c:pt>
                <c:pt idx="10">
                  <c:v>35166.410000000003</c:v>
                </c:pt>
                <c:pt idx="11">
                  <c:v>32292.959999999999</c:v>
                </c:pt>
                <c:pt idx="12">
                  <c:v>26807.47</c:v>
                </c:pt>
                <c:pt idx="13">
                  <c:v>19926.39</c:v>
                </c:pt>
                <c:pt idx="14">
                  <c:v>18303.54</c:v>
                </c:pt>
                <c:pt idx="15">
                  <c:v>18042.14</c:v>
                </c:pt>
                <c:pt idx="16">
                  <c:v>15276.34</c:v>
                </c:pt>
                <c:pt idx="17">
                  <c:v>12843.76</c:v>
                </c:pt>
                <c:pt idx="18">
                  <c:v>9733.24</c:v>
                </c:pt>
                <c:pt idx="19">
                  <c:v>9120.39</c:v>
                </c:pt>
                <c:pt idx="20">
                  <c:v>8698.32</c:v>
                </c:pt>
                <c:pt idx="21">
                  <c:v>7901.97</c:v>
                </c:pt>
                <c:pt idx="22">
                  <c:v>6853.14</c:v>
                </c:pt>
                <c:pt idx="23">
                  <c:v>4740.9399999999996</c:v>
                </c:pt>
                <c:pt idx="24">
                  <c:v>4425.5200000000004</c:v>
                </c:pt>
                <c:pt idx="25">
                  <c:v>4310</c:v>
                </c:pt>
                <c:pt idx="26">
                  <c:v>3115.44</c:v>
                </c:pt>
                <c:pt idx="27">
                  <c:v>1980.47</c:v>
                </c:pt>
                <c:pt idx="28">
                  <c:v>1864.78</c:v>
                </c:pt>
                <c:pt idx="29">
                  <c:v>1730.92</c:v>
                </c:pt>
                <c:pt idx="30">
                  <c:v>1693.88</c:v>
                </c:pt>
                <c:pt idx="31">
                  <c:v>1661.06</c:v>
                </c:pt>
                <c:pt idx="32">
                  <c:v>1150.75</c:v>
                </c:pt>
                <c:pt idx="33">
                  <c:v>1143.5999999999999</c:v>
                </c:pt>
                <c:pt idx="34">
                  <c:v>1002.31</c:v>
                </c:pt>
                <c:pt idx="35">
                  <c:v>671.72</c:v>
                </c:pt>
                <c:pt idx="36">
                  <c:v>548.4</c:v>
                </c:pt>
                <c:pt idx="37">
                  <c:v>131.16999999999999</c:v>
                </c:pt>
              </c:numCache>
            </c:numRef>
          </c:val>
          <c:extLst>
            <c:ext xmlns:c16="http://schemas.microsoft.com/office/drawing/2014/chart" uri="{C3380CC4-5D6E-409C-BE32-E72D297353CC}">
              <c16:uniqueId val="{0000004C-1F23-4965-8C0C-E046A5C23A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276085853546991"/>
          <c:y val="0.10440550000751131"/>
          <c:w val="0.20975296019741471"/>
          <c:h val="0.8120651210503838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400" b="0" i="0" u="none" strike="noStrike" kern="1200" spc="0" baseline="0">
                <a:solidFill>
                  <a:schemeClr val="tx1"/>
                </a:solidFill>
                <a:latin typeface="+mn-lt"/>
                <a:ea typeface="+mn-ea"/>
                <a:cs typeface="+mn-cs"/>
              </a:defRPr>
            </a:pPr>
            <a:r>
              <a:rPr lang="en-GB" sz="2400" b="1"/>
              <a:t>Revenue By Month</a:t>
            </a:r>
          </a:p>
        </c:rich>
      </c:tx>
      <c:overlay val="0"/>
      <c:spPr>
        <a:noFill/>
        <a:ln>
          <a:noFill/>
        </a:ln>
        <a:effectLst/>
      </c:spPr>
      <c:txPr>
        <a:bodyPr rot="0" spcFirstLastPara="1" vertOverflow="ellipsis" vert="horz" wrap="square" anchor="ctr" anchorCtr="1"/>
        <a:lstStyle/>
        <a:p>
          <a:pPr>
            <a:defRPr lang="en-US" sz="2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'Revenue Month'!$B$1:$B$2</c:f>
              <c:strCache>
                <c:ptCount val="2"/>
                <c:pt idx="0">
                  <c:v>NetRevenue</c:v>
                </c:pt>
                <c:pt idx="1">
                  <c:v> £57.144,60 </c:v>
                </c:pt>
              </c:strCache>
            </c:strRef>
          </c:tx>
          <c:spPr>
            <a:solidFill>
              <a:schemeClr val="accent1"/>
            </a:solidFill>
            <a:ln>
              <a:noFill/>
            </a:ln>
            <a:effectLst/>
          </c:spPr>
          <c:invertIfNegative val="0"/>
          <c:cat>
            <c:numRef>
              <c:f>'Revenue Month'!$A$3:$A$23</c:f>
              <c:numCache>
                <c:formatCode>m/d/yyyy</c:formatCode>
                <c:ptCount val="21"/>
                <c:pt idx="0">
                  <c:v>40210</c:v>
                </c:pt>
                <c:pt idx="1">
                  <c:v>40238</c:v>
                </c:pt>
                <c:pt idx="2">
                  <c:v>40299</c:v>
                </c:pt>
                <c:pt idx="3">
                  <c:v>40330</c:v>
                </c:pt>
                <c:pt idx="4">
                  <c:v>40360</c:v>
                </c:pt>
                <c:pt idx="5">
                  <c:v>40391</c:v>
                </c:pt>
                <c:pt idx="6">
                  <c:v>40422</c:v>
                </c:pt>
                <c:pt idx="7">
                  <c:v>40452</c:v>
                </c:pt>
                <c:pt idx="8">
                  <c:v>40513</c:v>
                </c:pt>
                <c:pt idx="9">
                  <c:v>40544</c:v>
                </c:pt>
                <c:pt idx="10">
                  <c:v>40575</c:v>
                </c:pt>
                <c:pt idx="11">
                  <c:v>40603</c:v>
                </c:pt>
                <c:pt idx="12">
                  <c:v>40634</c:v>
                </c:pt>
                <c:pt idx="13">
                  <c:v>40664</c:v>
                </c:pt>
                <c:pt idx="14">
                  <c:v>40695</c:v>
                </c:pt>
                <c:pt idx="15">
                  <c:v>40725</c:v>
                </c:pt>
                <c:pt idx="16">
                  <c:v>40756</c:v>
                </c:pt>
                <c:pt idx="17">
                  <c:v>40787</c:v>
                </c:pt>
                <c:pt idx="18">
                  <c:v>40817</c:v>
                </c:pt>
                <c:pt idx="19">
                  <c:v>40848</c:v>
                </c:pt>
                <c:pt idx="20">
                  <c:v>40878</c:v>
                </c:pt>
              </c:numCache>
            </c:numRef>
          </c:cat>
          <c:val>
            <c:numRef>
              <c:f>'Revenue Month'!$B$3:$B$23</c:f>
              <c:numCache>
                <c:formatCode>_-[$£-809]* #,##0.00_-;\-[$£-809]* #,##0.00_-;_-[$£-809]* "-"??_-;_-@_-</c:formatCode>
                <c:ptCount val="21"/>
                <c:pt idx="0">
                  <c:v>46070.32</c:v>
                </c:pt>
                <c:pt idx="1">
                  <c:v>43465.65</c:v>
                </c:pt>
                <c:pt idx="2">
                  <c:v>30546.959999999999</c:v>
                </c:pt>
                <c:pt idx="3">
                  <c:v>50701.25</c:v>
                </c:pt>
                <c:pt idx="4">
                  <c:v>41728.21</c:v>
                </c:pt>
                <c:pt idx="5">
                  <c:v>43220.959999999999</c:v>
                </c:pt>
                <c:pt idx="6">
                  <c:v>48940.47</c:v>
                </c:pt>
                <c:pt idx="7">
                  <c:v>55103.199999999997</c:v>
                </c:pt>
                <c:pt idx="8">
                  <c:v>17037.5</c:v>
                </c:pt>
                <c:pt idx="9">
                  <c:v>250281.78</c:v>
                </c:pt>
                <c:pt idx="10">
                  <c:v>235205.89</c:v>
                </c:pt>
                <c:pt idx="11">
                  <c:v>262303.44</c:v>
                </c:pt>
                <c:pt idx="12">
                  <c:v>358304.79</c:v>
                </c:pt>
                <c:pt idx="13">
                  <c:v>298449.63</c:v>
                </c:pt>
                <c:pt idx="14">
                  <c:v>323354.21999999997</c:v>
                </c:pt>
                <c:pt idx="15">
                  <c:v>392835.68</c:v>
                </c:pt>
                <c:pt idx="16">
                  <c:v>330103.51</c:v>
                </c:pt>
                <c:pt idx="17">
                  <c:v>282228.34000000003</c:v>
                </c:pt>
                <c:pt idx="18">
                  <c:v>319986.21000000002</c:v>
                </c:pt>
                <c:pt idx="19">
                  <c:v>378465.9</c:v>
                </c:pt>
                <c:pt idx="20">
                  <c:v>221569.94</c:v>
                </c:pt>
              </c:numCache>
            </c:numRef>
          </c:val>
          <c:extLst>
            <c:ext xmlns:c16="http://schemas.microsoft.com/office/drawing/2014/chart" uri="{C3380CC4-5D6E-409C-BE32-E72D297353CC}">
              <c16:uniqueId val="{00000000-73FB-4FD6-9310-128B19632F1B}"/>
            </c:ext>
          </c:extLst>
        </c:ser>
        <c:dLbls>
          <c:showLegendKey val="0"/>
          <c:showVal val="0"/>
          <c:showCatName val="0"/>
          <c:showSerName val="0"/>
          <c:showPercent val="0"/>
          <c:showBubbleSize val="0"/>
        </c:dLbls>
        <c:gapWidth val="150"/>
        <c:axId val="1343664751"/>
        <c:axId val="1035810703"/>
      </c:barChart>
      <c:lineChart>
        <c:grouping val="standard"/>
        <c:varyColors val="0"/>
        <c:ser>
          <c:idx val="1"/>
          <c:order val="1"/>
          <c:tx>
            <c:strRef>
              <c:f>'Revenue Month'!$D$1:$D$2</c:f>
              <c:strCache>
                <c:ptCount val="2"/>
                <c:pt idx="0">
                  <c:v>RevenueChangePct</c:v>
                </c:pt>
              </c:strCache>
            </c:strRef>
          </c:tx>
          <c:spPr>
            <a:ln w="28575" cap="rnd">
              <a:solidFill>
                <a:schemeClr val="accent2"/>
              </a:solidFill>
              <a:round/>
            </a:ln>
            <a:effectLst/>
          </c:spPr>
          <c:marker>
            <c:symbol val="none"/>
          </c:marker>
          <c:cat>
            <c:numRef>
              <c:f>'Revenue Month'!$A$3:$A$23</c:f>
              <c:numCache>
                <c:formatCode>m/d/yyyy</c:formatCode>
                <c:ptCount val="21"/>
                <c:pt idx="0">
                  <c:v>40210</c:v>
                </c:pt>
                <c:pt idx="1">
                  <c:v>40238</c:v>
                </c:pt>
                <c:pt idx="2">
                  <c:v>40299</c:v>
                </c:pt>
                <c:pt idx="3">
                  <c:v>40330</c:v>
                </c:pt>
                <c:pt idx="4">
                  <c:v>40360</c:v>
                </c:pt>
                <c:pt idx="5">
                  <c:v>40391</c:v>
                </c:pt>
                <c:pt idx="6">
                  <c:v>40422</c:v>
                </c:pt>
                <c:pt idx="7">
                  <c:v>40452</c:v>
                </c:pt>
                <c:pt idx="8">
                  <c:v>40513</c:v>
                </c:pt>
                <c:pt idx="9">
                  <c:v>40544</c:v>
                </c:pt>
                <c:pt idx="10">
                  <c:v>40575</c:v>
                </c:pt>
                <c:pt idx="11">
                  <c:v>40603</c:v>
                </c:pt>
                <c:pt idx="12">
                  <c:v>40634</c:v>
                </c:pt>
                <c:pt idx="13">
                  <c:v>40664</c:v>
                </c:pt>
                <c:pt idx="14">
                  <c:v>40695</c:v>
                </c:pt>
                <c:pt idx="15">
                  <c:v>40725</c:v>
                </c:pt>
                <c:pt idx="16">
                  <c:v>40756</c:v>
                </c:pt>
                <c:pt idx="17">
                  <c:v>40787</c:v>
                </c:pt>
                <c:pt idx="18">
                  <c:v>40817</c:v>
                </c:pt>
                <c:pt idx="19">
                  <c:v>40848</c:v>
                </c:pt>
                <c:pt idx="20">
                  <c:v>40878</c:v>
                </c:pt>
              </c:numCache>
            </c:numRef>
          </c:cat>
          <c:val>
            <c:numRef>
              <c:f>'Revenue Month'!$D$3:$D$23</c:f>
              <c:numCache>
                <c:formatCode>General</c:formatCode>
                <c:ptCount val="21"/>
                <c:pt idx="0">
                  <c:v>-19.38</c:v>
                </c:pt>
                <c:pt idx="1">
                  <c:v>-5.65</c:v>
                </c:pt>
                <c:pt idx="2">
                  <c:v>-29.72</c:v>
                </c:pt>
                <c:pt idx="3">
                  <c:v>65.98</c:v>
                </c:pt>
                <c:pt idx="4">
                  <c:v>-17.7</c:v>
                </c:pt>
                <c:pt idx="5">
                  <c:v>3.58</c:v>
                </c:pt>
                <c:pt idx="6">
                  <c:v>13.23</c:v>
                </c:pt>
                <c:pt idx="7">
                  <c:v>12.59</c:v>
                </c:pt>
                <c:pt idx="8">
                  <c:v>-69.08</c:v>
                </c:pt>
                <c:pt idx="9">
                  <c:v>1369.01</c:v>
                </c:pt>
                <c:pt idx="10">
                  <c:v>-6.02</c:v>
                </c:pt>
                <c:pt idx="11">
                  <c:v>11.52</c:v>
                </c:pt>
                <c:pt idx="12">
                  <c:v>36.6</c:v>
                </c:pt>
                <c:pt idx="13">
                  <c:v>-16.71</c:v>
                </c:pt>
                <c:pt idx="14">
                  <c:v>8.34</c:v>
                </c:pt>
                <c:pt idx="15">
                  <c:v>21.49</c:v>
                </c:pt>
                <c:pt idx="16">
                  <c:v>-15.97</c:v>
                </c:pt>
                <c:pt idx="17">
                  <c:v>-14.5</c:v>
                </c:pt>
                <c:pt idx="18">
                  <c:v>13.38</c:v>
                </c:pt>
                <c:pt idx="19">
                  <c:v>18.28</c:v>
                </c:pt>
                <c:pt idx="20">
                  <c:v>-41.46</c:v>
                </c:pt>
              </c:numCache>
            </c:numRef>
          </c:val>
          <c:smooth val="0"/>
          <c:extLst>
            <c:ext xmlns:c16="http://schemas.microsoft.com/office/drawing/2014/chart" uri="{C3380CC4-5D6E-409C-BE32-E72D297353CC}">
              <c16:uniqueId val="{00000001-73FB-4FD6-9310-128B19632F1B}"/>
            </c:ext>
          </c:extLst>
        </c:ser>
        <c:dLbls>
          <c:showLegendKey val="0"/>
          <c:showVal val="0"/>
          <c:showCatName val="0"/>
          <c:showSerName val="0"/>
          <c:showPercent val="0"/>
          <c:showBubbleSize val="0"/>
        </c:dLbls>
        <c:marker val="1"/>
        <c:smooth val="0"/>
        <c:axId val="1343682847"/>
        <c:axId val="1035832303"/>
      </c:lineChart>
      <c:dateAx>
        <c:axId val="134366475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035810703"/>
        <c:crosses val="autoZero"/>
        <c:auto val="1"/>
        <c:lblOffset val="100"/>
        <c:baseTimeUnit val="months"/>
      </c:dateAx>
      <c:valAx>
        <c:axId val="1035810703"/>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343664751"/>
        <c:crosses val="autoZero"/>
        <c:crossBetween val="between"/>
      </c:valAx>
      <c:valAx>
        <c:axId val="10358323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343682847"/>
        <c:crosses val="max"/>
        <c:crossBetween val="between"/>
      </c:valAx>
      <c:dateAx>
        <c:axId val="1343682847"/>
        <c:scaling>
          <c:orientation val="minMax"/>
        </c:scaling>
        <c:delete val="1"/>
        <c:axPos val="b"/>
        <c:numFmt formatCode="m/d/yyyy" sourceLinked="1"/>
        <c:majorTickMark val="out"/>
        <c:minorTickMark val="none"/>
        <c:tickLblPos val="nextTo"/>
        <c:crossAx val="1035832303"/>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8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400" b="1" i="0" u="none" strike="noStrike" kern="1200" spc="0" baseline="0">
                <a:solidFill>
                  <a:sysClr val="windowText" lastClr="000000"/>
                </a:solidFill>
                <a:latin typeface="+mn-lt"/>
                <a:ea typeface="+mn-ea"/>
                <a:cs typeface="+mn-cs"/>
              </a:defRPr>
            </a:pPr>
            <a:r>
              <a:rPr lang="en-US" sz="2400" b="1" i="0" u="none" strike="noStrike" kern="1200" spc="0" baseline="0">
                <a:solidFill>
                  <a:sysClr val="windowText" lastClr="000000"/>
                </a:solidFill>
                <a:latin typeface="+mn-lt"/>
                <a:ea typeface="+mn-ea"/>
                <a:cs typeface="+mn-cs"/>
              </a:rPr>
              <a:t>Revenue By Prodct</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'Top10 products'!$B$1</c:f>
              <c:strCache>
                <c:ptCount val="1"/>
                <c:pt idx="0">
                  <c:v>NetRevenue</c:v>
                </c:pt>
              </c:strCache>
            </c:strRef>
          </c:tx>
          <c:spPr>
            <a:solidFill>
              <a:schemeClr val="accent1"/>
            </a:solidFill>
            <a:ln>
              <a:noFill/>
            </a:ln>
            <a:effectLst/>
          </c:spPr>
          <c:invertIfNegative val="0"/>
          <c:cat>
            <c:strRef>
              <c:f>'Top10 products'!$A$2:$A$11</c:f>
              <c:strCache>
                <c:ptCount val="10"/>
                <c:pt idx="0">
                  <c:v>REGENCY CAKESTAND 3 TIER</c:v>
                </c:pt>
                <c:pt idx="1">
                  <c:v>WHITE HANGING HEART T-LIGHT HOLDER</c:v>
                </c:pt>
                <c:pt idx="2">
                  <c:v>PARTY BUNTING</c:v>
                </c:pt>
                <c:pt idx="3">
                  <c:v>JUMBO BAG RED RETROSPOT</c:v>
                </c:pt>
                <c:pt idx="4">
                  <c:v>RABBIT NIGHT LIGHT</c:v>
                </c:pt>
                <c:pt idx="5">
                  <c:v>PAPER CHAIN KIT 50'S CHRISTMAS</c:v>
                </c:pt>
                <c:pt idx="6">
                  <c:v>ASSORTED COLOUR BIRD ORNAMENT</c:v>
                </c:pt>
                <c:pt idx="7">
                  <c:v>CHILLI LIGHTS</c:v>
                </c:pt>
                <c:pt idx="8">
                  <c:v>SPOTTY BUNTING</c:v>
                </c:pt>
                <c:pt idx="9">
                  <c:v>JUMBO BAG PINK POLKADOT</c:v>
                </c:pt>
              </c:strCache>
            </c:strRef>
          </c:cat>
          <c:val>
            <c:numRef>
              <c:f>'Top10 products'!$B$2:$B$11</c:f>
              <c:numCache>
                <c:formatCode>General</c:formatCode>
                <c:ptCount val="10"/>
                <c:pt idx="0">
                  <c:v>164459.49</c:v>
                </c:pt>
                <c:pt idx="1">
                  <c:v>99612.42</c:v>
                </c:pt>
                <c:pt idx="2">
                  <c:v>98243.88</c:v>
                </c:pt>
                <c:pt idx="3">
                  <c:v>92175.79</c:v>
                </c:pt>
                <c:pt idx="4">
                  <c:v>66661.63</c:v>
                </c:pt>
                <c:pt idx="5">
                  <c:v>63715.24</c:v>
                </c:pt>
                <c:pt idx="6">
                  <c:v>58792.42</c:v>
                </c:pt>
                <c:pt idx="7">
                  <c:v>53746.66</c:v>
                </c:pt>
                <c:pt idx="8">
                  <c:v>42030.67</c:v>
                </c:pt>
                <c:pt idx="9">
                  <c:v>41584.43</c:v>
                </c:pt>
              </c:numCache>
            </c:numRef>
          </c:val>
          <c:extLst>
            <c:ext xmlns:c16="http://schemas.microsoft.com/office/drawing/2014/chart" uri="{C3380CC4-5D6E-409C-BE32-E72D297353CC}">
              <c16:uniqueId val="{00000000-A4A4-43F4-AF3A-B250A862E3B2}"/>
            </c:ext>
          </c:extLst>
        </c:ser>
        <c:dLbls>
          <c:showLegendKey val="0"/>
          <c:showVal val="0"/>
          <c:showCatName val="0"/>
          <c:showSerName val="0"/>
          <c:showPercent val="0"/>
          <c:showBubbleSize val="0"/>
        </c:dLbls>
        <c:gapWidth val="219"/>
        <c:overlap val="-27"/>
        <c:axId val="1133484015"/>
        <c:axId val="1035825583"/>
      </c:barChart>
      <c:catAx>
        <c:axId val="113348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035825583"/>
        <c:crosses val="autoZero"/>
        <c:auto val="1"/>
        <c:lblAlgn val="ctr"/>
        <c:lblOffset val="100"/>
        <c:noMultiLvlLbl val="0"/>
      </c:catAx>
      <c:valAx>
        <c:axId val="103582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4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'Revenue Month'!$B$1</c:f>
              <c:strCache>
                <c:ptCount val="1"/>
                <c:pt idx="0">
                  <c:v>NetRevenue</c:v>
                </c:pt>
              </c:strCache>
            </c:strRef>
          </c:tx>
          <c:spPr>
            <a:solidFill>
              <a:schemeClr val="accent1"/>
            </a:solidFill>
            <a:ln>
              <a:noFill/>
            </a:ln>
            <a:effectLst/>
          </c:spPr>
          <c:invertIfNegative val="0"/>
          <c:cat>
            <c:numRef>
              <c:f>'Revenue Month'!$A$2:$A$23</c:f>
              <c:numCache>
                <c:formatCode>m/d/yyyy</c:formatCode>
                <c:ptCount val="22"/>
                <c:pt idx="0">
                  <c:v>40179</c:v>
                </c:pt>
                <c:pt idx="1">
                  <c:v>40210</c:v>
                </c:pt>
                <c:pt idx="2">
                  <c:v>40238</c:v>
                </c:pt>
                <c:pt idx="3">
                  <c:v>40299</c:v>
                </c:pt>
                <c:pt idx="4">
                  <c:v>40330</c:v>
                </c:pt>
                <c:pt idx="5">
                  <c:v>40360</c:v>
                </c:pt>
                <c:pt idx="6">
                  <c:v>40391</c:v>
                </c:pt>
                <c:pt idx="7">
                  <c:v>40422</c:v>
                </c:pt>
                <c:pt idx="8">
                  <c:v>40452</c:v>
                </c:pt>
                <c:pt idx="9">
                  <c:v>40513</c:v>
                </c:pt>
                <c:pt idx="10">
                  <c:v>40544</c:v>
                </c:pt>
                <c:pt idx="11">
                  <c:v>40575</c:v>
                </c:pt>
                <c:pt idx="12">
                  <c:v>40603</c:v>
                </c:pt>
                <c:pt idx="13">
                  <c:v>40634</c:v>
                </c:pt>
                <c:pt idx="14">
                  <c:v>40664</c:v>
                </c:pt>
                <c:pt idx="15">
                  <c:v>40695</c:v>
                </c:pt>
                <c:pt idx="16">
                  <c:v>40725</c:v>
                </c:pt>
                <c:pt idx="17">
                  <c:v>40756</c:v>
                </c:pt>
                <c:pt idx="18">
                  <c:v>40787</c:v>
                </c:pt>
                <c:pt idx="19">
                  <c:v>40817</c:v>
                </c:pt>
                <c:pt idx="20">
                  <c:v>40848</c:v>
                </c:pt>
                <c:pt idx="21">
                  <c:v>40878</c:v>
                </c:pt>
              </c:numCache>
            </c:numRef>
          </c:cat>
          <c:val>
            <c:numRef>
              <c:f>'Revenue Month'!$B$3:$B$23</c:f>
              <c:numCache>
                <c:formatCode>_-[$£-809]* #,##0.00_-;\-[$£-809]* #,##0.00_-;_-[$£-809]* "-"??_-;_-@_-</c:formatCode>
                <c:ptCount val="21"/>
                <c:pt idx="0">
                  <c:v>46070.32</c:v>
                </c:pt>
                <c:pt idx="1">
                  <c:v>43465.65</c:v>
                </c:pt>
                <c:pt idx="2">
                  <c:v>30546.959999999999</c:v>
                </c:pt>
                <c:pt idx="3">
                  <c:v>50701.25</c:v>
                </c:pt>
                <c:pt idx="4">
                  <c:v>41728.21</c:v>
                </c:pt>
                <c:pt idx="5">
                  <c:v>43220.959999999999</c:v>
                </c:pt>
                <c:pt idx="6">
                  <c:v>48940.47</c:v>
                </c:pt>
                <c:pt idx="7">
                  <c:v>55103.199999999997</c:v>
                </c:pt>
                <c:pt idx="8">
                  <c:v>17037.5</c:v>
                </c:pt>
                <c:pt idx="9">
                  <c:v>250281.78</c:v>
                </c:pt>
                <c:pt idx="10">
                  <c:v>235205.89</c:v>
                </c:pt>
                <c:pt idx="11">
                  <c:v>262303.44</c:v>
                </c:pt>
                <c:pt idx="12">
                  <c:v>358304.79</c:v>
                </c:pt>
                <c:pt idx="13">
                  <c:v>298449.63</c:v>
                </c:pt>
                <c:pt idx="14">
                  <c:v>323354.21999999997</c:v>
                </c:pt>
                <c:pt idx="15">
                  <c:v>392835.68</c:v>
                </c:pt>
                <c:pt idx="16">
                  <c:v>330103.51</c:v>
                </c:pt>
                <c:pt idx="17">
                  <c:v>282228.34000000003</c:v>
                </c:pt>
                <c:pt idx="18">
                  <c:v>319986.21000000002</c:v>
                </c:pt>
                <c:pt idx="19">
                  <c:v>378465.9</c:v>
                </c:pt>
                <c:pt idx="20">
                  <c:v>221569.94</c:v>
                </c:pt>
              </c:numCache>
            </c:numRef>
          </c:val>
          <c:extLst>
            <c:ext xmlns:c16="http://schemas.microsoft.com/office/drawing/2014/chart" uri="{C3380CC4-5D6E-409C-BE32-E72D297353CC}">
              <c16:uniqueId val="{00000000-F326-4C06-B705-1EBC15F6B918}"/>
            </c:ext>
          </c:extLst>
        </c:ser>
        <c:dLbls>
          <c:showLegendKey val="0"/>
          <c:showVal val="0"/>
          <c:showCatName val="0"/>
          <c:showSerName val="0"/>
          <c:showPercent val="0"/>
          <c:showBubbleSize val="0"/>
        </c:dLbls>
        <c:gapWidth val="150"/>
        <c:axId val="1343664751"/>
        <c:axId val="1035810703"/>
      </c:barChart>
      <c:lineChart>
        <c:grouping val="standard"/>
        <c:varyColors val="0"/>
        <c:ser>
          <c:idx val="1"/>
          <c:order val="1"/>
          <c:tx>
            <c:strRef>
              <c:f>'Revenue Month'!$D$1</c:f>
              <c:strCache>
                <c:ptCount val="1"/>
                <c:pt idx="0">
                  <c:v>RevenueChangePct</c:v>
                </c:pt>
              </c:strCache>
            </c:strRef>
          </c:tx>
          <c:spPr>
            <a:ln w="28575" cap="rnd">
              <a:solidFill>
                <a:schemeClr val="accent2"/>
              </a:solidFill>
              <a:round/>
            </a:ln>
            <a:effectLst/>
          </c:spPr>
          <c:marker>
            <c:symbol val="none"/>
          </c:marker>
          <c:cat>
            <c:numRef>
              <c:f>'Revenue Month'!$A$2:$A$23</c:f>
              <c:numCache>
                <c:formatCode>m/d/yyyy</c:formatCode>
                <c:ptCount val="22"/>
                <c:pt idx="0">
                  <c:v>40179</c:v>
                </c:pt>
                <c:pt idx="1">
                  <c:v>40210</c:v>
                </c:pt>
                <c:pt idx="2">
                  <c:v>40238</c:v>
                </c:pt>
                <c:pt idx="3">
                  <c:v>40299</c:v>
                </c:pt>
                <c:pt idx="4">
                  <c:v>40330</c:v>
                </c:pt>
                <c:pt idx="5">
                  <c:v>40360</c:v>
                </c:pt>
                <c:pt idx="6">
                  <c:v>40391</c:v>
                </c:pt>
                <c:pt idx="7">
                  <c:v>40422</c:v>
                </c:pt>
                <c:pt idx="8">
                  <c:v>40452</c:v>
                </c:pt>
                <c:pt idx="9">
                  <c:v>40513</c:v>
                </c:pt>
                <c:pt idx="10">
                  <c:v>40544</c:v>
                </c:pt>
                <c:pt idx="11">
                  <c:v>40575</c:v>
                </c:pt>
                <c:pt idx="12">
                  <c:v>40603</c:v>
                </c:pt>
                <c:pt idx="13">
                  <c:v>40634</c:v>
                </c:pt>
                <c:pt idx="14">
                  <c:v>40664</c:v>
                </c:pt>
                <c:pt idx="15">
                  <c:v>40695</c:v>
                </c:pt>
                <c:pt idx="16">
                  <c:v>40725</c:v>
                </c:pt>
                <c:pt idx="17">
                  <c:v>40756</c:v>
                </c:pt>
                <c:pt idx="18">
                  <c:v>40787</c:v>
                </c:pt>
                <c:pt idx="19">
                  <c:v>40817</c:v>
                </c:pt>
                <c:pt idx="20">
                  <c:v>40848</c:v>
                </c:pt>
                <c:pt idx="21">
                  <c:v>40878</c:v>
                </c:pt>
              </c:numCache>
            </c:numRef>
          </c:cat>
          <c:val>
            <c:numRef>
              <c:f>'Revenue Month'!$D$3:$D$23</c:f>
              <c:numCache>
                <c:formatCode>General</c:formatCode>
                <c:ptCount val="21"/>
                <c:pt idx="0">
                  <c:v>-19.38</c:v>
                </c:pt>
                <c:pt idx="1">
                  <c:v>-5.65</c:v>
                </c:pt>
                <c:pt idx="2">
                  <c:v>-29.72</c:v>
                </c:pt>
                <c:pt idx="3">
                  <c:v>65.98</c:v>
                </c:pt>
                <c:pt idx="4">
                  <c:v>-17.7</c:v>
                </c:pt>
                <c:pt idx="5">
                  <c:v>3.58</c:v>
                </c:pt>
                <c:pt idx="6">
                  <c:v>13.23</c:v>
                </c:pt>
                <c:pt idx="7">
                  <c:v>12.59</c:v>
                </c:pt>
                <c:pt idx="8">
                  <c:v>-69.08</c:v>
                </c:pt>
                <c:pt idx="9">
                  <c:v>1369.01</c:v>
                </c:pt>
                <c:pt idx="10">
                  <c:v>-6.02</c:v>
                </c:pt>
                <c:pt idx="11">
                  <c:v>11.52</c:v>
                </c:pt>
                <c:pt idx="12">
                  <c:v>36.6</c:v>
                </c:pt>
                <c:pt idx="13">
                  <c:v>-16.71</c:v>
                </c:pt>
                <c:pt idx="14">
                  <c:v>8.34</c:v>
                </c:pt>
                <c:pt idx="15">
                  <c:v>21.49</c:v>
                </c:pt>
                <c:pt idx="16">
                  <c:v>-15.97</c:v>
                </c:pt>
                <c:pt idx="17">
                  <c:v>-14.5</c:v>
                </c:pt>
                <c:pt idx="18">
                  <c:v>13.38</c:v>
                </c:pt>
                <c:pt idx="19">
                  <c:v>18.28</c:v>
                </c:pt>
                <c:pt idx="20">
                  <c:v>-41.46</c:v>
                </c:pt>
              </c:numCache>
            </c:numRef>
          </c:val>
          <c:smooth val="0"/>
          <c:extLst>
            <c:ext xmlns:c16="http://schemas.microsoft.com/office/drawing/2014/chart" uri="{C3380CC4-5D6E-409C-BE32-E72D297353CC}">
              <c16:uniqueId val="{00000001-F326-4C06-B705-1EBC15F6B918}"/>
            </c:ext>
          </c:extLst>
        </c:ser>
        <c:dLbls>
          <c:showLegendKey val="0"/>
          <c:showVal val="0"/>
          <c:showCatName val="0"/>
          <c:showSerName val="0"/>
          <c:showPercent val="0"/>
          <c:showBubbleSize val="0"/>
        </c:dLbls>
        <c:marker val="1"/>
        <c:smooth val="0"/>
        <c:axId val="1343682847"/>
        <c:axId val="1035832303"/>
      </c:lineChart>
      <c:dateAx>
        <c:axId val="134366475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810703"/>
        <c:crosses val="autoZero"/>
        <c:auto val="1"/>
        <c:lblOffset val="100"/>
        <c:baseTimeUnit val="months"/>
      </c:dateAx>
      <c:valAx>
        <c:axId val="1035810703"/>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664751"/>
        <c:crosses val="autoZero"/>
        <c:crossBetween val="between"/>
      </c:valAx>
      <c:valAx>
        <c:axId val="10358323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682847"/>
        <c:crosses val="max"/>
        <c:crossBetween val="between"/>
      </c:valAx>
      <c:dateAx>
        <c:axId val="1343682847"/>
        <c:scaling>
          <c:orientation val="minMax"/>
        </c:scaling>
        <c:delete val="1"/>
        <c:axPos val="b"/>
        <c:numFmt formatCode="m/d/yyyy" sourceLinked="1"/>
        <c:majorTickMark val="out"/>
        <c:minorTickMark val="none"/>
        <c:tickLblPos val="nextTo"/>
        <c:crossAx val="1035832303"/>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'Revenue Country'!$B$1</c:f>
              <c:strCache>
                <c:ptCount val="1"/>
                <c:pt idx="0">
                  <c:v>NetRevenue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A8-4DF4-A807-6AD056FB61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A8-4DF4-A807-6AD056FB61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A8-4DF4-A807-6AD056FB61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A8-4DF4-A807-6AD056FB61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A8-4DF4-A807-6AD056FB61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A8-4DF4-A807-6AD056FB611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A8-4DF4-A807-6AD056FB611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7A8-4DF4-A807-6AD056FB611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7A8-4DF4-A807-6AD056FB611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7A8-4DF4-A807-6AD056FB611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7A8-4DF4-A807-6AD056FB611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7A8-4DF4-A807-6AD056FB611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7A8-4DF4-A807-6AD056FB611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7A8-4DF4-A807-6AD056FB611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7A8-4DF4-A807-6AD056FB611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7A8-4DF4-A807-6AD056FB611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7A8-4DF4-A807-6AD056FB611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7A8-4DF4-A807-6AD056FB611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7A8-4DF4-A807-6AD056FB611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7A8-4DF4-A807-6AD056FB611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7A8-4DF4-A807-6AD056FB611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77A8-4DF4-A807-6AD056FB611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77A8-4DF4-A807-6AD056FB611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77A8-4DF4-A807-6AD056FB611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77A8-4DF4-A807-6AD056FB611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77A8-4DF4-A807-6AD056FB611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77A8-4DF4-A807-6AD056FB611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77A8-4DF4-A807-6AD056FB611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77A8-4DF4-A807-6AD056FB611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77A8-4DF4-A807-6AD056FB611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77A8-4DF4-A807-6AD056FB611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77A8-4DF4-A807-6AD056FB611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77A8-4DF4-A807-6AD056FB611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77A8-4DF4-A807-6AD056FB611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77A8-4DF4-A807-6AD056FB611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77A8-4DF4-A807-6AD056FB611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77A8-4DF4-A807-6AD056FB611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77A8-4DF4-A807-6AD056FB611F}"/>
              </c:ext>
            </c:extLst>
          </c:dPt>
          <c:cat>
            <c:strRef>
              <c:f>'Revenue Country'!$A$2:$A$39</c:f>
              <c:strCache>
                <c:ptCount val="38"/>
                <c:pt idx="0">
                  <c:v>UNITED KINGDOM</c:v>
                </c:pt>
                <c:pt idx="1">
                  <c:v>NETHERLANDS</c:v>
                </c:pt>
                <c:pt idx="2">
                  <c:v>IRELAND</c:v>
                </c:pt>
                <c:pt idx="3">
                  <c:v>GERMANY</c:v>
                </c:pt>
                <c:pt idx="4">
                  <c:v>FRANCE</c:v>
                </c:pt>
                <c:pt idx="5">
                  <c:v>AUSTRALIA</c:v>
                </c:pt>
                <c:pt idx="6">
                  <c:v>SWITZERLAND</c:v>
                </c:pt>
                <c:pt idx="7">
                  <c:v>SPAIN</c:v>
                </c:pt>
                <c:pt idx="8">
                  <c:v>BELGIUM</c:v>
                </c:pt>
                <c:pt idx="9">
                  <c:v>JAPAN</c:v>
                </c:pt>
                <c:pt idx="10">
                  <c:v>SWEDEN</c:v>
                </c:pt>
                <c:pt idx="11">
                  <c:v>NORWAY</c:v>
                </c:pt>
                <c:pt idx="12">
                  <c:v>PORTUGAL</c:v>
                </c:pt>
                <c:pt idx="13">
                  <c:v>CHANNEL ISLANDS</c:v>
                </c:pt>
                <c:pt idx="14">
                  <c:v>FINLAND</c:v>
                </c:pt>
                <c:pt idx="15">
                  <c:v>DENMARK</c:v>
                </c:pt>
                <c:pt idx="16">
                  <c:v>ITALY</c:v>
                </c:pt>
                <c:pt idx="17">
                  <c:v>CYPRUS</c:v>
                </c:pt>
                <c:pt idx="18">
                  <c:v>HONG KONG</c:v>
                </c:pt>
                <c:pt idx="19">
                  <c:v>SINGAPORE</c:v>
                </c:pt>
                <c:pt idx="20">
                  <c:v>AUSTRIA</c:v>
                </c:pt>
                <c:pt idx="21">
                  <c:v>ISRAEL</c:v>
                </c:pt>
                <c:pt idx="22">
                  <c:v>POLAND</c:v>
                </c:pt>
                <c:pt idx="23">
                  <c:v>UNSPECIFIED</c:v>
                </c:pt>
                <c:pt idx="24">
                  <c:v>GREECE</c:v>
                </c:pt>
                <c:pt idx="25">
                  <c:v>ICELAND</c:v>
                </c:pt>
                <c:pt idx="26">
                  <c:v>CANADA</c:v>
                </c:pt>
                <c:pt idx="27">
                  <c:v>MALTA</c:v>
                </c:pt>
                <c:pt idx="28">
                  <c:v>UNITED ARAB EMIRATES</c:v>
                </c:pt>
                <c:pt idx="29">
                  <c:v>USA</c:v>
                </c:pt>
                <c:pt idx="30">
                  <c:v>LEBANON</c:v>
                </c:pt>
                <c:pt idx="31">
                  <c:v>LITHUANIA</c:v>
                </c:pt>
                <c:pt idx="32">
                  <c:v>EUROPEAN COMMUNITY</c:v>
                </c:pt>
                <c:pt idx="33">
                  <c:v>BRAZIL</c:v>
                </c:pt>
                <c:pt idx="34">
                  <c:v>REPUBLIC OF SOUTH AFRICA</c:v>
                </c:pt>
                <c:pt idx="35">
                  <c:v>CZECH REPUBLIC</c:v>
                </c:pt>
                <c:pt idx="36">
                  <c:v>BAHRAIN</c:v>
                </c:pt>
                <c:pt idx="37">
                  <c:v>SAUDI ARABIA</c:v>
                </c:pt>
              </c:strCache>
            </c:strRef>
          </c:cat>
          <c:val>
            <c:numRef>
              <c:f>'Revenue Country'!$B$2:$B$39</c:f>
              <c:numCache>
                <c:formatCode>General</c:formatCode>
                <c:ptCount val="38"/>
                <c:pt idx="0">
                  <c:v>8053376.1299999999</c:v>
                </c:pt>
                <c:pt idx="1">
                  <c:v>283479.53999999998</c:v>
                </c:pt>
                <c:pt idx="2">
                  <c:v>259380.02</c:v>
                </c:pt>
                <c:pt idx="3">
                  <c:v>200619.66</c:v>
                </c:pt>
                <c:pt idx="4">
                  <c:v>182076.6</c:v>
                </c:pt>
                <c:pt idx="5">
                  <c:v>136922.5</c:v>
                </c:pt>
                <c:pt idx="6">
                  <c:v>52483.05</c:v>
                </c:pt>
                <c:pt idx="7">
                  <c:v>51746.65</c:v>
                </c:pt>
                <c:pt idx="8">
                  <c:v>36662.959999999999</c:v>
                </c:pt>
                <c:pt idx="9">
                  <c:v>35419.79</c:v>
                </c:pt>
                <c:pt idx="10">
                  <c:v>35166.410000000003</c:v>
                </c:pt>
                <c:pt idx="11">
                  <c:v>32292.959999999999</c:v>
                </c:pt>
                <c:pt idx="12">
                  <c:v>26807.47</c:v>
                </c:pt>
                <c:pt idx="13">
                  <c:v>19926.39</c:v>
                </c:pt>
                <c:pt idx="14">
                  <c:v>18303.54</c:v>
                </c:pt>
                <c:pt idx="15">
                  <c:v>18042.14</c:v>
                </c:pt>
                <c:pt idx="16">
                  <c:v>15276.34</c:v>
                </c:pt>
                <c:pt idx="17">
                  <c:v>12843.76</c:v>
                </c:pt>
                <c:pt idx="18">
                  <c:v>9733.24</c:v>
                </c:pt>
                <c:pt idx="19">
                  <c:v>9120.39</c:v>
                </c:pt>
                <c:pt idx="20">
                  <c:v>8698.32</c:v>
                </c:pt>
                <c:pt idx="21">
                  <c:v>7901.97</c:v>
                </c:pt>
                <c:pt idx="22">
                  <c:v>6853.14</c:v>
                </c:pt>
                <c:pt idx="23">
                  <c:v>4740.9399999999996</c:v>
                </c:pt>
                <c:pt idx="24">
                  <c:v>4425.5200000000004</c:v>
                </c:pt>
                <c:pt idx="25">
                  <c:v>4310</c:v>
                </c:pt>
                <c:pt idx="26">
                  <c:v>3115.44</c:v>
                </c:pt>
                <c:pt idx="27">
                  <c:v>1980.47</c:v>
                </c:pt>
                <c:pt idx="28">
                  <c:v>1864.78</c:v>
                </c:pt>
                <c:pt idx="29">
                  <c:v>1730.92</c:v>
                </c:pt>
                <c:pt idx="30">
                  <c:v>1693.88</c:v>
                </c:pt>
                <c:pt idx="31">
                  <c:v>1661.06</c:v>
                </c:pt>
                <c:pt idx="32">
                  <c:v>1150.75</c:v>
                </c:pt>
                <c:pt idx="33">
                  <c:v>1143.5999999999999</c:v>
                </c:pt>
                <c:pt idx="34">
                  <c:v>1002.31</c:v>
                </c:pt>
                <c:pt idx="35">
                  <c:v>671.72</c:v>
                </c:pt>
                <c:pt idx="36">
                  <c:v>548.4</c:v>
                </c:pt>
                <c:pt idx="37">
                  <c:v>131.16999999999999</c:v>
                </c:pt>
              </c:numCache>
            </c:numRef>
          </c:val>
          <c:extLst>
            <c:ext xmlns:c16="http://schemas.microsoft.com/office/drawing/2014/chart" uri="{C3380CC4-5D6E-409C-BE32-E72D297353CC}">
              <c16:uniqueId val="{00000000-629F-489C-8869-985CD1D08A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'Top10 products'!$B$1</c:f>
              <c:strCache>
                <c:ptCount val="1"/>
                <c:pt idx="0">
                  <c:v>NetRevenue</c:v>
                </c:pt>
              </c:strCache>
            </c:strRef>
          </c:tx>
          <c:spPr>
            <a:solidFill>
              <a:schemeClr val="accent1"/>
            </a:solidFill>
            <a:ln>
              <a:noFill/>
            </a:ln>
            <a:effectLst/>
          </c:spPr>
          <c:invertIfNegative val="0"/>
          <c:cat>
            <c:strRef>
              <c:f>'Top10 products'!$A$2:$A$11</c:f>
              <c:strCache>
                <c:ptCount val="10"/>
                <c:pt idx="0">
                  <c:v>REGENCY CAKESTAND 3 TIER</c:v>
                </c:pt>
                <c:pt idx="1">
                  <c:v>WHITE HANGING HEART T-LIGHT HOLDER</c:v>
                </c:pt>
                <c:pt idx="2">
                  <c:v>PARTY BUNTING</c:v>
                </c:pt>
                <c:pt idx="3">
                  <c:v>JUMBO BAG RED RETROSPOT</c:v>
                </c:pt>
                <c:pt idx="4">
                  <c:v>RABBIT NIGHT LIGHT</c:v>
                </c:pt>
                <c:pt idx="5">
                  <c:v>PAPER CHAIN KIT 50'S CHRISTMAS</c:v>
                </c:pt>
                <c:pt idx="6">
                  <c:v>ASSORTED COLOUR BIRD ORNAMENT</c:v>
                </c:pt>
                <c:pt idx="7">
                  <c:v>CHILLI LIGHTS</c:v>
                </c:pt>
                <c:pt idx="8">
                  <c:v>SPOTTY BUNTING</c:v>
                </c:pt>
                <c:pt idx="9">
                  <c:v>JUMBO BAG PINK POLKADOT</c:v>
                </c:pt>
              </c:strCache>
            </c:strRef>
          </c:cat>
          <c:val>
            <c:numRef>
              <c:f>'Top10 products'!$B$2:$B$11</c:f>
              <c:numCache>
                <c:formatCode>General</c:formatCode>
                <c:ptCount val="10"/>
                <c:pt idx="0">
                  <c:v>164459.49</c:v>
                </c:pt>
                <c:pt idx="1">
                  <c:v>99612.42</c:v>
                </c:pt>
                <c:pt idx="2">
                  <c:v>98243.88</c:v>
                </c:pt>
                <c:pt idx="3">
                  <c:v>92175.79</c:v>
                </c:pt>
                <c:pt idx="4">
                  <c:v>66661.63</c:v>
                </c:pt>
                <c:pt idx="5">
                  <c:v>63715.24</c:v>
                </c:pt>
                <c:pt idx="6">
                  <c:v>58792.42</c:v>
                </c:pt>
                <c:pt idx="7">
                  <c:v>53746.66</c:v>
                </c:pt>
                <c:pt idx="8">
                  <c:v>42030.67</c:v>
                </c:pt>
                <c:pt idx="9">
                  <c:v>41584.43</c:v>
                </c:pt>
              </c:numCache>
            </c:numRef>
          </c:val>
          <c:extLst>
            <c:ext xmlns:c16="http://schemas.microsoft.com/office/drawing/2014/chart" uri="{C3380CC4-5D6E-409C-BE32-E72D297353CC}">
              <c16:uniqueId val="{00000000-4418-4864-A63C-BA76B3BE6B24}"/>
            </c:ext>
          </c:extLst>
        </c:ser>
        <c:dLbls>
          <c:showLegendKey val="0"/>
          <c:showVal val="0"/>
          <c:showCatName val="0"/>
          <c:showSerName val="0"/>
          <c:showPercent val="0"/>
          <c:showBubbleSize val="0"/>
        </c:dLbls>
        <c:gapWidth val="219"/>
        <c:overlap val="-27"/>
        <c:axId val="1133484015"/>
        <c:axId val="1035825583"/>
      </c:barChart>
      <c:catAx>
        <c:axId val="113348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825583"/>
        <c:crosses val="autoZero"/>
        <c:auto val="1"/>
        <c:lblAlgn val="ctr"/>
        <c:lblOffset val="100"/>
        <c:noMultiLvlLbl val="0"/>
      </c:catAx>
      <c:valAx>
        <c:axId val="103582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4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0</xdr:colOff>
      <xdr:row>6</xdr:row>
      <xdr:rowOff>0</xdr:rowOff>
    </xdr:to>
    <xdr:sp macro="" textlink="">
      <xdr:nvSpPr>
        <xdr:cNvPr id="3" name="Rectangle: Rounded Corners 2">
          <a:extLst>
            <a:ext uri="{FF2B5EF4-FFF2-40B4-BE49-F238E27FC236}">
              <a16:creationId xmlns:a16="http://schemas.microsoft.com/office/drawing/2014/main" id="{68B53A06-7B99-FB76-5075-8A2F06C5E6A8}"/>
            </a:ext>
          </a:extLst>
        </xdr:cNvPr>
        <xdr:cNvSpPr/>
      </xdr:nvSpPr>
      <xdr:spPr>
        <a:xfrm>
          <a:off x="1343891" y="401782"/>
          <a:ext cx="24190036" cy="2008909"/>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4800" b="1">
              <a:solidFill>
                <a:srgbClr val="00204F"/>
              </a:solidFill>
            </a:rPr>
            <a:t>Online Retail Store Analysis- Overview</a:t>
          </a:r>
        </a:p>
        <a:p>
          <a:r>
            <a:rPr lang="en-GB" sz="2400">
              <a:solidFill>
                <a:schemeClr val="dk1"/>
              </a:solidFill>
              <a:effectLst/>
              <a:latin typeface="+mn-lt"/>
              <a:ea typeface="+mn-ea"/>
              <a:cs typeface="+mn-cs"/>
            </a:rPr>
            <a:t>This Online Retail II data set contains all the transactions occurring for a UK-based and registered, non-store online retail between 01/2/2010 and 09/12/2011.The company mainly sells unique all-occasion gift-ware.</a:t>
          </a:r>
          <a:r>
            <a:rPr lang="en-GB" sz="2400" baseline="0">
              <a:solidFill>
                <a:schemeClr val="dk1"/>
              </a:solidFill>
              <a:effectLst/>
              <a:latin typeface="+mn-lt"/>
              <a:ea typeface="+mn-ea"/>
              <a:cs typeface="+mn-cs"/>
            </a:rPr>
            <a:t> </a:t>
          </a:r>
          <a:r>
            <a:rPr lang="en-GB" sz="2400">
              <a:solidFill>
                <a:schemeClr val="dk1"/>
              </a:solidFill>
              <a:effectLst/>
              <a:latin typeface="+mn-lt"/>
              <a:ea typeface="+mn-ea"/>
              <a:cs typeface="+mn-cs"/>
            </a:rPr>
            <a:t>Many customers of the company are wholesellers.</a:t>
          </a:r>
        </a:p>
        <a:p>
          <a:pPr algn="l"/>
          <a:endParaRPr lang="en-GB" sz="4800" b="1"/>
        </a:p>
      </xdr:txBody>
    </xdr:sp>
    <xdr:clientData/>
  </xdr:twoCellAnchor>
  <xdr:twoCellAnchor>
    <xdr:from>
      <xdr:col>1</xdr:col>
      <xdr:colOff>0</xdr:colOff>
      <xdr:row>15</xdr:row>
      <xdr:rowOff>0</xdr:rowOff>
    </xdr:from>
    <xdr:to>
      <xdr:col>9</xdr:col>
      <xdr:colOff>990327</xdr:colOff>
      <xdr:row>28</xdr:row>
      <xdr:rowOff>1</xdr:rowOff>
    </xdr:to>
    <xdr:sp macro="" textlink="">
      <xdr:nvSpPr>
        <xdr:cNvPr id="7" name="Rectangle: Rounded Corners 6">
          <a:extLst>
            <a:ext uri="{FF2B5EF4-FFF2-40B4-BE49-F238E27FC236}">
              <a16:creationId xmlns:a16="http://schemas.microsoft.com/office/drawing/2014/main" id="{0885ED7B-4395-4AD5-A93F-96E26B0C5C76}"/>
            </a:ext>
          </a:extLst>
        </xdr:cNvPr>
        <xdr:cNvSpPr/>
      </xdr:nvSpPr>
      <xdr:spPr>
        <a:xfrm>
          <a:off x="1343891" y="6026727"/>
          <a:ext cx="11741454" cy="5223165"/>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2000" b="1"/>
        </a:p>
        <a:p>
          <a:pPr algn="l"/>
          <a:endParaRPr lang="en-GB" sz="2000" b="1"/>
        </a:p>
      </xdr:txBody>
    </xdr:sp>
    <xdr:clientData/>
  </xdr:twoCellAnchor>
  <xdr:twoCellAnchor>
    <xdr:from>
      <xdr:col>10</xdr:col>
      <xdr:colOff>83126</xdr:colOff>
      <xdr:row>14</xdr:row>
      <xdr:rowOff>387928</xdr:rowOff>
    </xdr:from>
    <xdr:to>
      <xdr:col>18</xdr:col>
      <xdr:colOff>1211999</xdr:colOff>
      <xdr:row>28</xdr:row>
      <xdr:rowOff>-1</xdr:rowOff>
    </xdr:to>
    <xdr:sp macro="" textlink="">
      <xdr:nvSpPr>
        <xdr:cNvPr id="8" name="Rectangle: Rounded Corners 7">
          <a:extLst>
            <a:ext uri="{FF2B5EF4-FFF2-40B4-BE49-F238E27FC236}">
              <a16:creationId xmlns:a16="http://schemas.microsoft.com/office/drawing/2014/main" id="{2CD4D585-20EB-4D56-95D5-BB71E326B150}"/>
            </a:ext>
          </a:extLst>
        </xdr:cNvPr>
        <xdr:cNvSpPr/>
      </xdr:nvSpPr>
      <xdr:spPr>
        <a:xfrm>
          <a:off x="13522035" y="6012873"/>
          <a:ext cx="11880000" cy="5237017"/>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2000" b="1"/>
        </a:p>
      </xdr:txBody>
    </xdr:sp>
    <xdr:clientData/>
  </xdr:twoCellAnchor>
  <xdr:twoCellAnchor>
    <xdr:from>
      <xdr:col>10</xdr:col>
      <xdr:colOff>602674</xdr:colOff>
      <xdr:row>16</xdr:row>
      <xdr:rowOff>27708</xdr:rowOff>
    </xdr:from>
    <xdr:to>
      <xdr:col>18</xdr:col>
      <xdr:colOff>942108</xdr:colOff>
      <xdr:row>27</xdr:row>
      <xdr:rowOff>267738</xdr:rowOff>
    </xdr:to>
    <xdr:graphicFrame macro="">
      <xdr:nvGraphicFramePr>
        <xdr:cNvPr id="11" name="Chart 10">
          <a:extLst>
            <a:ext uri="{FF2B5EF4-FFF2-40B4-BE49-F238E27FC236}">
              <a16:creationId xmlns:a16="http://schemas.microsoft.com/office/drawing/2014/main" id="{A9851171-0779-49F8-967B-BDAFB3582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374073</xdr:colOff>
      <xdr:row>15</xdr:row>
      <xdr:rowOff>277091</xdr:rowOff>
    </xdr:from>
    <xdr:to>
      <xdr:col>9</xdr:col>
      <xdr:colOff>429491</xdr:colOff>
      <xdr:row>27</xdr:row>
      <xdr:rowOff>290946</xdr:rowOff>
    </xdr:to>
    <xdr:graphicFrame macro="">
      <xdr:nvGraphicFramePr>
        <xdr:cNvPr id="12" name="Chart 11">
          <a:extLst>
            <a:ext uri="{FF2B5EF4-FFF2-40B4-BE49-F238E27FC236}">
              <a16:creationId xmlns:a16="http://schemas.microsoft.com/office/drawing/2014/main" id="{2AAD6DC7-841A-416E-A12D-60496BF5C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30</xdr:row>
      <xdr:rowOff>13854</xdr:rowOff>
    </xdr:from>
    <xdr:to>
      <xdr:col>9</xdr:col>
      <xdr:colOff>990327</xdr:colOff>
      <xdr:row>43</xdr:row>
      <xdr:rowOff>13856</xdr:rowOff>
    </xdr:to>
    <xdr:sp macro="" textlink="">
      <xdr:nvSpPr>
        <xdr:cNvPr id="15" name="Rectangle: Rounded Corners 14">
          <a:extLst>
            <a:ext uri="{FF2B5EF4-FFF2-40B4-BE49-F238E27FC236}">
              <a16:creationId xmlns:a16="http://schemas.microsoft.com/office/drawing/2014/main" id="{13CD1F13-282F-44EF-8A2A-F4F8C92036FB}"/>
            </a:ext>
          </a:extLst>
        </xdr:cNvPr>
        <xdr:cNvSpPr/>
      </xdr:nvSpPr>
      <xdr:spPr>
        <a:xfrm>
          <a:off x="1343891" y="12067309"/>
          <a:ext cx="11741454" cy="5223165"/>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2000" b="1"/>
        </a:p>
        <a:p>
          <a:pPr algn="l"/>
          <a:endParaRPr lang="en-GB" sz="2000" b="1"/>
        </a:p>
      </xdr:txBody>
    </xdr:sp>
    <xdr:clientData/>
  </xdr:twoCellAnchor>
  <xdr:twoCellAnchor>
    <xdr:from>
      <xdr:col>10</xdr:col>
      <xdr:colOff>83126</xdr:colOff>
      <xdr:row>30</xdr:row>
      <xdr:rowOff>0</xdr:rowOff>
    </xdr:from>
    <xdr:to>
      <xdr:col>18</xdr:col>
      <xdr:colOff>1211999</xdr:colOff>
      <xdr:row>43</xdr:row>
      <xdr:rowOff>13854</xdr:rowOff>
    </xdr:to>
    <xdr:sp macro="" textlink="">
      <xdr:nvSpPr>
        <xdr:cNvPr id="16" name="Rectangle: Rounded Corners 15">
          <a:extLst>
            <a:ext uri="{FF2B5EF4-FFF2-40B4-BE49-F238E27FC236}">
              <a16:creationId xmlns:a16="http://schemas.microsoft.com/office/drawing/2014/main" id="{D573D0BB-D159-4D34-A4A0-C9E54EFBBE50}"/>
            </a:ext>
          </a:extLst>
        </xdr:cNvPr>
        <xdr:cNvSpPr/>
      </xdr:nvSpPr>
      <xdr:spPr>
        <a:xfrm>
          <a:off x="13522035" y="12053455"/>
          <a:ext cx="11880000" cy="5237017"/>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2400" b="1"/>
            <a:t>Top</a:t>
          </a:r>
          <a:r>
            <a:rPr lang="en-GB" sz="2400" b="1" baseline="0"/>
            <a:t> 5 Customers By Revenue</a:t>
          </a:r>
          <a:endParaRPr lang="en-GB" sz="2400" b="1"/>
        </a:p>
      </xdr:txBody>
    </xdr:sp>
    <xdr:clientData/>
  </xdr:twoCellAnchor>
  <xdr:twoCellAnchor>
    <xdr:from>
      <xdr:col>1</xdr:col>
      <xdr:colOff>166254</xdr:colOff>
      <xdr:row>30</xdr:row>
      <xdr:rowOff>360219</xdr:rowOff>
    </xdr:from>
    <xdr:to>
      <xdr:col>9</xdr:col>
      <xdr:colOff>568037</xdr:colOff>
      <xdr:row>42</xdr:row>
      <xdr:rowOff>83128</xdr:rowOff>
    </xdr:to>
    <xdr:graphicFrame macro="">
      <xdr:nvGraphicFramePr>
        <xdr:cNvPr id="17" name="Chart 16">
          <a:extLst>
            <a:ext uri="{FF2B5EF4-FFF2-40B4-BE49-F238E27FC236}">
              <a16:creationId xmlns:a16="http://schemas.microsoft.com/office/drawing/2014/main" id="{29AD7A53-9AF5-46B3-9E1B-E1F4976C7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304799</xdr:colOff>
      <xdr:row>32</xdr:row>
      <xdr:rowOff>152400</xdr:rowOff>
    </xdr:from>
    <xdr:to>
      <xdr:col>16</xdr:col>
      <xdr:colOff>748145</xdr:colOff>
      <xdr:row>41</xdr:row>
      <xdr:rowOff>342442</xdr:rowOff>
    </xdr:to>
    <xdr:pic>
      <xdr:nvPicPr>
        <xdr:cNvPr id="19" name="Picture 18">
          <a:extLst>
            <a:ext uri="{FF2B5EF4-FFF2-40B4-BE49-F238E27FC236}">
              <a16:creationId xmlns:a16="http://schemas.microsoft.com/office/drawing/2014/main" id="{87D05EA5-E3C4-7D8C-8640-06612874F18A}"/>
            </a:ext>
          </a:extLst>
        </xdr:cNvPr>
        <xdr:cNvPicPr>
          <a:picLocks noChangeAspect="1"/>
        </xdr:cNvPicPr>
      </xdr:nvPicPr>
      <xdr:blipFill>
        <a:blip xmlns:r="http://schemas.openxmlformats.org/officeDocument/2006/relationships" r:embed="rId4"/>
        <a:stretch>
          <a:fillRect/>
        </a:stretch>
      </xdr:blipFill>
      <xdr:spPr>
        <a:xfrm>
          <a:off x="16431490" y="13009418"/>
          <a:ext cx="5818910" cy="3806079"/>
        </a:xfrm>
        <a:prstGeom prst="rect">
          <a:avLst/>
        </a:prstGeom>
      </xdr:spPr>
    </xdr:pic>
    <xdr:clientData/>
  </xdr:twoCellAnchor>
  <xdr:twoCellAnchor>
    <xdr:from>
      <xdr:col>1</xdr:col>
      <xdr:colOff>0</xdr:colOff>
      <xdr:row>46</xdr:row>
      <xdr:rowOff>0</xdr:rowOff>
    </xdr:from>
    <xdr:to>
      <xdr:col>19</xdr:col>
      <xdr:colOff>0</xdr:colOff>
      <xdr:row>51</xdr:row>
      <xdr:rowOff>0</xdr:rowOff>
    </xdr:to>
    <xdr:sp macro="" textlink="">
      <xdr:nvSpPr>
        <xdr:cNvPr id="38" name="Rectangle: Rounded Corners 37">
          <a:extLst>
            <a:ext uri="{FF2B5EF4-FFF2-40B4-BE49-F238E27FC236}">
              <a16:creationId xmlns:a16="http://schemas.microsoft.com/office/drawing/2014/main" id="{7FAE5785-57F2-4E52-B8BF-7B644E06A4CE}"/>
            </a:ext>
          </a:extLst>
        </xdr:cNvPr>
        <xdr:cNvSpPr/>
      </xdr:nvSpPr>
      <xdr:spPr>
        <a:xfrm>
          <a:off x="1343891" y="18481964"/>
          <a:ext cx="24190036" cy="2008909"/>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4800" b="1">
              <a:solidFill>
                <a:srgbClr val="00204F"/>
              </a:solidFill>
            </a:rPr>
            <a:t>Online Retail Store Analysis- Cancellation</a:t>
          </a:r>
          <a:r>
            <a:rPr lang="en-GB" sz="4800" b="1" baseline="0">
              <a:solidFill>
                <a:srgbClr val="00204F"/>
              </a:solidFill>
            </a:rPr>
            <a:t> Analysis</a:t>
          </a:r>
          <a:endParaRPr lang="en-GB" sz="4800" b="1">
            <a:solidFill>
              <a:srgbClr val="00204F"/>
            </a:solidFill>
          </a:endParaRPr>
        </a:p>
        <a:p>
          <a:endParaRPr lang="en-GB" sz="2400">
            <a:solidFill>
              <a:schemeClr val="dk1"/>
            </a:solidFill>
            <a:effectLst/>
            <a:latin typeface="+mn-lt"/>
            <a:ea typeface="+mn-ea"/>
            <a:cs typeface="+mn-cs"/>
          </a:endParaRPr>
        </a:p>
        <a:p>
          <a:pPr algn="l"/>
          <a:endParaRPr lang="en-GB" sz="4800" b="1"/>
        </a:p>
      </xdr:txBody>
    </xdr:sp>
    <xdr:clientData/>
  </xdr:twoCellAnchor>
  <xdr:twoCellAnchor>
    <xdr:from>
      <xdr:col>8</xdr:col>
      <xdr:colOff>484911</xdr:colOff>
      <xdr:row>8</xdr:row>
      <xdr:rowOff>13854</xdr:rowOff>
    </xdr:from>
    <xdr:to>
      <xdr:col>11</xdr:col>
      <xdr:colOff>332511</xdr:colOff>
      <xdr:row>13</xdr:row>
      <xdr:rowOff>249381</xdr:rowOff>
    </xdr:to>
    <xdr:sp macro="" textlink="">
      <xdr:nvSpPr>
        <xdr:cNvPr id="44" name="Rectangle: Rounded Corners 43">
          <a:extLst>
            <a:ext uri="{FF2B5EF4-FFF2-40B4-BE49-F238E27FC236}">
              <a16:creationId xmlns:a16="http://schemas.microsoft.com/office/drawing/2014/main" id="{39941DD3-84B8-4D23-9806-DB35FBA5A00E}"/>
            </a:ext>
          </a:extLst>
        </xdr:cNvPr>
        <xdr:cNvSpPr/>
      </xdr:nvSpPr>
      <xdr:spPr>
        <a:xfrm>
          <a:off x="11236038" y="3228109"/>
          <a:ext cx="3879273" cy="2244436"/>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2400" b="1" baseline="0">
              <a:solidFill>
                <a:srgbClr val="00204F"/>
              </a:solidFill>
              <a:latin typeface="+mn-lt"/>
              <a:ea typeface="+mn-ea"/>
              <a:cs typeface="+mn-cs"/>
            </a:rPr>
            <a:t># of Customers</a:t>
          </a:r>
          <a:endParaRPr lang="en-GB" sz="2400" b="1">
            <a:solidFill>
              <a:srgbClr val="00204F"/>
            </a:solidFill>
            <a:latin typeface="+mn-lt"/>
            <a:ea typeface="+mn-ea"/>
            <a:cs typeface="+mn-cs"/>
          </a:endParaRPr>
        </a:p>
      </xdr:txBody>
    </xdr:sp>
    <xdr:clientData/>
  </xdr:twoCellAnchor>
  <xdr:twoCellAnchor>
    <xdr:from>
      <xdr:col>8</xdr:col>
      <xdr:colOff>595746</xdr:colOff>
      <xdr:row>9</xdr:row>
      <xdr:rowOff>180110</xdr:rowOff>
    </xdr:from>
    <xdr:to>
      <xdr:col>11</xdr:col>
      <xdr:colOff>221672</xdr:colOff>
      <xdr:row>12</xdr:row>
      <xdr:rowOff>318655</xdr:rowOff>
    </xdr:to>
    <xdr:sp macro="" textlink="KPI!B2">
      <xdr:nvSpPr>
        <xdr:cNvPr id="47" name="TextBox 46">
          <a:extLst>
            <a:ext uri="{FF2B5EF4-FFF2-40B4-BE49-F238E27FC236}">
              <a16:creationId xmlns:a16="http://schemas.microsoft.com/office/drawing/2014/main" id="{54FF28AE-6DEB-4CA4-986A-81291861B077}"/>
            </a:ext>
          </a:extLst>
        </xdr:cNvPr>
        <xdr:cNvSpPr txBox="1"/>
      </xdr:nvSpPr>
      <xdr:spPr>
        <a:xfrm>
          <a:off x="11346873" y="3796146"/>
          <a:ext cx="3657599" cy="134389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BBA8E0-9C1D-4DC5-A959-023F6064E001}" type="TxLink">
            <a:rPr lang="en-US" sz="4000" b="1" i="0" u="none" strike="noStrike">
              <a:solidFill>
                <a:srgbClr val="000000"/>
              </a:solidFill>
              <a:latin typeface="Calibri"/>
              <a:ea typeface="Calibri"/>
              <a:cs typeface="Calibri"/>
            </a:rPr>
            <a:pPr marL="0" indent="0" algn="ctr"/>
            <a:t>4364</a:t>
          </a:fld>
          <a:endParaRPr lang="en-GB" sz="4000" b="1" i="0" u="none" strike="noStrike">
            <a:solidFill>
              <a:srgbClr val="000000"/>
            </a:solidFill>
            <a:latin typeface="Calibri"/>
            <a:ea typeface="Calibri"/>
            <a:cs typeface="Calibri"/>
          </a:endParaRPr>
        </a:p>
      </xdr:txBody>
    </xdr:sp>
    <xdr:clientData/>
  </xdr:twoCellAnchor>
  <xdr:twoCellAnchor>
    <xdr:from>
      <xdr:col>8</xdr:col>
      <xdr:colOff>526474</xdr:colOff>
      <xdr:row>8</xdr:row>
      <xdr:rowOff>13854</xdr:rowOff>
    </xdr:from>
    <xdr:to>
      <xdr:col>11</xdr:col>
      <xdr:colOff>374074</xdr:colOff>
      <xdr:row>13</xdr:row>
      <xdr:rowOff>249381</xdr:rowOff>
    </xdr:to>
    <xdr:grpSp>
      <xdr:nvGrpSpPr>
        <xdr:cNvPr id="52" name="Group 51">
          <a:extLst>
            <a:ext uri="{FF2B5EF4-FFF2-40B4-BE49-F238E27FC236}">
              <a16:creationId xmlns:a16="http://schemas.microsoft.com/office/drawing/2014/main" id="{4A441A95-F50D-6F54-A2DD-E91D94FC7771}"/>
            </a:ext>
          </a:extLst>
        </xdr:cNvPr>
        <xdr:cNvGrpSpPr/>
      </xdr:nvGrpSpPr>
      <xdr:grpSpPr>
        <a:xfrm>
          <a:off x="11277601" y="3228109"/>
          <a:ext cx="3879273" cy="2244436"/>
          <a:chOff x="11277601" y="3228109"/>
          <a:chExt cx="3879273" cy="2244436"/>
        </a:xfrm>
      </xdr:grpSpPr>
      <xdr:sp macro="" textlink="">
        <xdr:nvSpPr>
          <xdr:cNvPr id="50" name="Rectangle: Rounded Corners 49">
            <a:extLst>
              <a:ext uri="{FF2B5EF4-FFF2-40B4-BE49-F238E27FC236}">
                <a16:creationId xmlns:a16="http://schemas.microsoft.com/office/drawing/2014/main" id="{0FFC6E79-0C35-93EB-3A06-4A005FC9DF44}"/>
              </a:ext>
            </a:extLst>
          </xdr:cNvPr>
          <xdr:cNvSpPr/>
        </xdr:nvSpPr>
        <xdr:spPr>
          <a:xfrm>
            <a:off x="11277601" y="3228109"/>
            <a:ext cx="3879273" cy="2244436"/>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2400" b="1" baseline="0">
                <a:solidFill>
                  <a:srgbClr val="00204F"/>
                </a:solidFill>
                <a:latin typeface="+mn-lt"/>
                <a:ea typeface="+mn-ea"/>
                <a:cs typeface="+mn-cs"/>
              </a:rPr>
              <a:t># of Customers</a:t>
            </a:r>
            <a:endParaRPr lang="en-GB" sz="2400" b="1">
              <a:solidFill>
                <a:srgbClr val="00204F"/>
              </a:solidFill>
              <a:latin typeface="+mn-lt"/>
              <a:ea typeface="+mn-ea"/>
              <a:cs typeface="+mn-cs"/>
            </a:endParaRPr>
          </a:p>
        </xdr:txBody>
      </xdr:sp>
      <xdr:sp macro="" textlink="KPI!B2">
        <xdr:nvSpPr>
          <xdr:cNvPr id="51" name="TextBox 50">
            <a:extLst>
              <a:ext uri="{FF2B5EF4-FFF2-40B4-BE49-F238E27FC236}">
                <a16:creationId xmlns:a16="http://schemas.microsoft.com/office/drawing/2014/main" id="{796228ED-8125-C48A-6298-0B95C86A8320}"/>
              </a:ext>
            </a:extLst>
          </xdr:cNvPr>
          <xdr:cNvSpPr txBox="1"/>
        </xdr:nvSpPr>
        <xdr:spPr>
          <a:xfrm>
            <a:off x="11388436" y="3796146"/>
            <a:ext cx="3657599" cy="134389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BBA8E0-9C1D-4DC5-A959-023F6064E001}" type="TxLink">
              <a:rPr lang="en-US" sz="4000" b="1" i="0" u="none" strike="noStrike">
                <a:solidFill>
                  <a:srgbClr val="000000"/>
                </a:solidFill>
                <a:latin typeface="Calibri"/>
                <a:ea typeface="Calibri"/>
                <a:cs typeface="Calibri"/>
              </a:rPr>
              <a:pPr marL="0" indent="0" algn="ctr"/>
              <a:t>4364</a:t>
            </a:fld>
            <a:endParaRPr lang="en-GB" sz="4000" b="1" i="0" u="none" strike="noStrike">
              <a:solidFill>
                <a:srgbClr val="000000"/>
              </a:solidFill>
              <a:latin typeface="Calibri"/>
              <a:ea typeface="Calibri"/>
              <a:cs typeface="Calibri"/>
            </a:endParaRPr>
          </a:p>
        </xdr:txBody>
      </xdr:sp>
    </xdr:grpSp>
    <xdr:clientData/>
  </xdr:twoCellAnchor>
  <xdr:twoCellAnchor>
    <xdr:from>
      <xdr:col>3</xdr:col>
      <xdr:colOff>0</xdr:colOff>
      <xdr:row>8</xdr:row>
      <xdr:rowOff>0</xdr:rowOff>
    </xdr:from>
    <xdr:to>
      <xdr:col>5</xdr:col>
      <xdr:colOff>1191491</xdr:colOff>
      <xdr:row>13</xdr:row>
      <xdr:rowOff>235527</xdr:rowOff>
    </xdr:to>
    <xdr:grpSp>
      <xdr:nvGrpSpPr>
        <xdr:cNvPr id="57" name="Group 56">
          <a:extLst>
            <a:ext uri="{FF2B5EF4-FFF2-40B4-BE49-F238E27FC236}">
              <a16:creationId xmlns:a16="http://schemas.microsoft.com/office/drawing/2014/main" id="{040DA92C-D8FD-47EF-8F4F-1C6AF5F7475E}"/>
            </a:ext>
          </a:extLst>
        </xdr:cNvPr>
        <xdr:cNvGrpSpPr/>
      </xdr:nvGrpSpPr>
      <xdr:grpSpPr>
        <a:xfrm>
          <a:off x="4031673" y="3214255"/>
          <a:ext cx="3879273" cy="2244436"/>
          <a:chOff x="6719455" y="3214255"/>
          <a:chExt cx="3879273" cy="2244436"/>
        </a:xfrm>
      </xdr:grpSpPr>
      <xdr:sp macro="" textlink="">
        <xdr:nvSpPr>
          <xdr:cNvPr id="58" name="Rectangle: Rounded Corners 57">
            <a:extLst>
              <a:ext uri="{FF2B5EF4-FFF2-40B4-BE49-F238E27FC236}">
                <a16:creationId xmlns:a16="http://schemas.microsoft.com/office/drawing/2014/main" id="{1BCF170E-5A47-B2C7-A3DE-59258F8F604A}"/>
              </a:ext>
            </a:extLst>
          </xdr:cNvPr>
          <xdr:cNvSpPr/>
        </xdr:nvSpPr>
        <xdr:spPr>
          <a:xfrm>
            <a:off x="6719455" y="3214255"/>
            <a:ext cx="3879273" cy="2244436"/>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2400" b="1">
                <a:solidFill>
                  <a:srgbClr val="00204F"/>
                </a:solidFill>
              </a:rPr>
              <a:t>Total</a:t>
            </a:r>
            <a:r>
              <a:rPr lang="en-GB" sz="2400" b="1" baseline="0">
                <a:solidFill>
                  <a:srgbClr val="00204F"/>
                </a:solidFill>
              </a:rPr>
              <a:t> Sales</a:t>
            </a:r>
          </a:p>
          <a:p>
            <a:pPr algn="l"/>
            <a:endParaRPr lang="en-GB" sz="2000" b="1"/>
          </a:p>
        </xdr:txBody>
      </xdr:sp>
      <xdr:sp macro="" textlink="KPI!A2">
        <xdr:nvSpPr>
          <xdr:cNvPr id="59" name="TextBox 58">
            <a:extLst>
              <a:ext uri="{FF2B5EF4-FFF2-40B4-BE49-F238E27FC236}">
                <a16:creationId xmlns:a16="http://schemas.microsoft.com/office/drawing/2014/main" id="{6A468DBB-AD1D-2A20-06EC-B17F3F1D0ED5}"/>
              </a:ext>
            </a:extLst>
          </xdr:cNvPr>
          <xdr:cNvSpPr txBox="1"/>
        </xdr:nvSpPr>
        <xdr:spPr>
          <a:xfrm>
            <a:off x="6844144" y="3754583"/>
            <a:ext cx="3616037" cy="142701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4FCE0C-5FA4-466F-B65A-869C2A318666}" type="TxLink">
              <a:rPr lang="en-US" sz="4000" b="1" i="0" u="none" strike="noStrike">
                <a:solidFill>
                  <a:srgbClr val="000000"/>
                </a:solidFill>
                <a:latin typeface="Calibri"/>
                <a:ea typeface="Calibri"/>
                <a:cs typeface="Calibri"/>
              </a:rPr>
              <a:pPr algn="ctr"/>
              <a:t>£9,54 million</a:t>
            </a:fld>
            <a:endParaRPr lang="en-GB" sz="4000" b="1"/>
          </a:p>
        </xdr:txBody>
      </xdr:sp>
    </xdr:grpSp>
    <xdr:clientData/>
  </xdr:twoCellAnchor>
  <xdr:twoCellAnchor>
    <xdr:from>
      <xdr:col>14</xdr:col>
      <xdr:colOff>0</xdr:colOff>
      <xdr:row>8</xdr:row>
      <xdr:rowOff>0</xdr:rowOff>
    </xdr:from>
    <xdr:to>
      <xdr:col>16</xdr:col>
      <xdr:colOff>1191491</xdr:colOff>
      <xdr:row>13</xdr:row>
      <xdr:rowOff>235527</xdr:rowOff>
    </xdr:to>
    <xdr:grpSp>
      <xdr:nvGrpSpPr>
        <xdr:cNvPr id="60" name="Group 59">
          <a:extLst>
            <a:ext uri="{FF2B5EF4-FFF2-40B4-BE49-F238E27FC236}">
              <a16:creationId xmlns:a16="http://schemas.microsoft.com/office/drawing/2014/main" id="{D737D211-8378-479D-B228-B5CC78D56862}"/>
            </a:ext>
          </a:extLst>
        </xdr:cNvPr>
        <xdr:cNvGrpSpPr/>
      </xdr:nvGrpSpPr>
      <xdr:grpSpPr>
        <a:xfrm>
          <a:off x="18814473" y="3214255"/>
          <a:ext cx="3879273" cy="2244436"/>
          <a:chOff x="15835746" y="3214255"/>
          <a:chExt cx="3879273" cy="2244436"/>
        </a:xfrm>
      </xdr:grpSpPr>
      <xdr:sp macro="" textlink="">
        <xdr:nvSpPr>
          <xdr:cNvPr id="61" name="Rectangle: Rounded Corners 60">
            <a:extLst>
              <a:ext uri="{FF2B5EF4-FFF2-40B4-BE49-F238E27FC236}">
                <a16:creationId xmlns:a16="http://schemas.microsoft.com/office/drawing/2014/main" id="{AB6FBC65-F5CA-2BEB-CE5E-31E8F8493466}"/>
              </a:ext>
            </a:extLst>
          </xdr:cNvPr>
          <xdr:cNvSpPr/>
        </xdr:nvSpPr>
        <xdr:spPr>
          <a:xfrm>
            <a:off x="15835746" y="3214255"/>
            <a:ext cx="3879273" cy="2244436"/>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2400" b="1" baseline="0">
                <a:solidFill>
                  <a:srgbClr val="00204F"/>
                </a:solidFill>
                <a:latin typeface="+mn-lt"/>
                <a:ea typeface="+mn-ea"/>
                <a:cs typeface="+mn-cs"/>
              </a:rPr>
              <a:t># of Products</a:t>
            </a:r>
          </a:p>
        </xdr:txBody>
      </xdr:sp>
      <xdr:sp macro="" textlink="KPI!C2">
        <xdr:nvSpPr>
          <xdr:cNvPr id="62" name="TextBox 61">
            <a:extLst>
              <a:ext uri="{FF2B5EF4-FFF2-40B4-BE49-F238E27FC236}">
                <a16:creationId xmlns:a16="http://schemas.microsoft.com/office/drawing/2014/main" id="{C0F9D5F2-8981-C3EE-E63D-35E5E8D0EBB4}"/>
              </a:ext>
            </a:extLst>
          </xdr:cNvPr>
          <xdr:cNvSpPr txBox="1"/>
        </xdr:nvSpPr>
        <xdr:spPr>
          <a:xfrm>
            <a:off x="15891164" y="3837710"/>
            <a:ext cx="3657599" cy="134389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43A9A0-D4E8-4E3B-B7AF-05456863652F}" type="TxLink">
              <a:rPr lang="en-US" sz="4000" b="1" i="0" u="none" strike="noStrike">
                <a:solidFill>
                  <a:srgbClr val="000000"/>
                </a:solidFill>
                <a:latin typeface="Calibri"/>
                <a:ea typeface="Calibri"/>
                <a:cs typeface="Calibri"/>
              </a:rPr>
              <a:pPr marL="0" indent="0" algn="ctr"/>
              <a:t>3950</a:t>
            </a:fld>
            <a:endParaRPr lang="en-GB" sz="4000" b="1" i="0" u="none" strike="noStrike">
              <a:solidFill>
                <a:srgbClr val="000000"/>
              </a:solidFill>
              <a:latin typeface="Calibri"/>
              <a:ea typeface="Calibri"/>
              <a:cs typeface="Calibri"/>
            </a:endParaRPr>
          </a:p>
        </xdr:txBody>
      </xdr:sp>
    </xdr:grpSp>
    <xdr:clientData/>
  </xdr:twoCellAnchor>
  <xdr:twoCellAnchor>
    <xdr:from>
      <xdr:col>6</xdr:col>
      <xdr:colOff>794328</xdr:colOff>
      <xdr:row>53</xdr:row>
      <xdr:rowOff>73890</xdr:rowOff>
    </xdr:from>
    <xdr:to>
      <xdr:col>9</xdr:col>
      <xdr:colOff>946727</xdr:colOff>
      <xdr:row>58</xdr:row>
      <xdr:rowOff>309417</xdr:rowOff>
    </xdr:to>
    <xdr:sp macro="" textlink="">
      <xdr:nvSpPr>
        <xdr:cNvPr id="64" name="Rectangle: Rounded Corners 63">
          <a:extLst>
            <a:ext uri="{FF2B5EF4-FFF2-40B4-BE49-F238E27FC236}">
              <a16:creationId xmlns:a16="http://schemas.microsoft.com/office/drawing/2014/main" id="{E726728C-0DA4-1CC1-E7BB-C41591DDE6BC}"/>
            </a:ext>
          </a:extLst>
        </xdr:cNvPr>
        <xdr:cNvSpPr/>
      </xdr:nvSpPr>
      <xdr:spPr>
        <a:xfrm>
          <a:off x="8857673" y="21368326"/>
          <a:ext cx="4184072" cy="2244436"/>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2400" b="1" baseline="0">
              <a:solidFill>
                <a:srgbClr val="00204F"/>
              </a:solidFill>
              <a:latin typeface="+mn-lt"/>
              <a:ea typeface="+mn-ea"/>
              <a:cs typeface="+mn-cs"/>
            </a:rPr>
            <a:t>Cancellation</a:t>
          </a:r>
          <a:endParaRPr lang="en-GB" sz="2400" b="1">
            <a:solidFill>
              <a:srgbClr val="00204F"/>
            </a:solidFill>
            <a:latin typeface="+mn-lt"/>
            <a:ea typeface="+mn-ea"/>
            <a:cs typeface="+mn-cs"/>
          </a:endParaRPr>
        </a:p>
      </xdr:txBody>
    </xdr:sp>
    <xdr:clientData/>
  </xdr:twoCellAnchor>
  <xdr:twoCellAnchor>
    <xdr:from>
      <xdr:col>6</xdr:col>
      <xdr:colOff>941580</xdr:colOff>
      <xdr:row>54</xdr:row>
      <xdr:rowOff>170872</xdr:rowOff>
    </xdr:from>
    <xdr:to>
      <xdr:col>9</xdr:col>
      <xdr:colOff>854888</xdr:colOff>
      <xdr:row>57</xdr:row>
      <xdr:rowOff>309417</xdr:rowOff>
    </xdr:to>
    <xdr:sp macro="" textlink="KPI!B9">
      <xdr:nvSpPr>
        <xdr:cNvPr id="65" name="TextBox 64">
          <a:extLst>
            <a:ext uri="{FF2B5EF4-FFF2-40B4-BE49-F238E27FC236}">
              <a16:creationId xmlns:a16="http://schemas.microsoft.com/office/drawing/2014/main" id="{168B3324-6DC0-097E-9D44-9850C0EDDCEB}"/>
            </a:ext>
          </a:extLst>
        </xdr:cNvPr>
        <xdr:cNvSpPr txBox="1"/>
      </xdr:nvSpPr>
      <xdr:spPr>
        <a:xfrm>
          <a:off x="9004925" y="21867090"/>
          <a:ext cx="3944981" cy="134389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3C794A-5BDA-4F52-83B3-9988F127AE09}" type="TxLink">
            <a:rPr lang="en-US" sz="3600" b="1" i="0" u="none" strike="noStrike">
              <a:solidFill>
                <a:srgbClr val="000000"/>
              </a:solidFill>
              <a:latin typeface="Calibri"/>
              <a:ea typeface="Calibri"/>
              <a:cs typeface="Calibri"/>
            </a:rPr>
            <a:pPr marL="0" indent="0" algn="ctr"/>
            <a:t>£0,72 million</a:t>
          </a:fld>
          <a:endParaRPr lang="en-GB" sz="3600" b="1" i="0" u="none" strike="noStrike">
            <a:solidFill>
              <a:srgbClr val="000000"/>
            </a:solidFill>
            <a:latin typeface="Calibri"/>
            <a:ea typeface="Calibri"/>
            <a:cs typeface="Calibri"/>
          </a:endParaRPr>
        </a:p>
      </xdr:txBody>
    </xdr:sp>
    <xdr:clientData/>
  </xdr:twoCellAnchor>
  <xdr:twoCellAnchor>
    <xdr:from>
      <xdr:col>3</xdr:col>
      <xdr:colOff>0</xdr:colOff>
      <xdr:row>53</xdr:row>
      <xdr:rowOff>36945</xdr:rowOff>
    </xdr:from>
    <xdr:to>
      <xdr:col>5</xdr:col>
      <xdr:colOff>1191491</xdr:colOff>
      <xdr:row>58</xdr:row>
      <xdr:rowOff>272472</xdr:rowOff>
    </xdr:to>
    <xdr:sp macro="" textlink="">
      <xdr:nvSpPr>
        <xdr:cNvPr id="67" name="Rectangle: Rounded Corners 66">
          <a:extLst>
            <a:ext uri="{FF2B5EF4-FFF2-40B4-BE49-F238E27FC236}">
              <a16:creationId xmlns:a16="http://schemas.microsoft.com/office/drawing/2014/main" id="{4AAF0BA8-9D1D-3EE9-2556-764E7F35D4A3}"/>
            </a:ext>
          </a:extLst>
        </xdr:cNvPr>
        <xdr:cNvSpPr/>
      </xdr:nvSpPr>
      <xdr:spPr>
        <a:xfrm>
          <a:off x="4031673" y="21331381"/>
          <a:ext cx="3879273" cy="2244436"/>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2400" b="1" baseline="0">
              <a:solidFill>
                <a:srgbClr val="00204F"/>
              </a:solidFill>
            </a:rPr>
            <a:t>Gross Sales</a:t>
          </a:r>
        </a:p>
        <a:p>
          <a:pPr algn="l"/>
          <a:endParaRPr lang="en-GB" sz="2000" b="1"/>
        </a:p>
      </xdr:txBody>
    </xdr:sp>
    <xdr:clientData/>
  </xdr:twoCellAnchor>
  <xdr:twoCellAnchor>
    <xdr:from>
      <xdr:col>3</xdr:col>
      <xdr:colOff>124689</xdr:colOff>
      <xdr:row>54</xdr:row>
      <xdr:rowOff>175491</xdr:rowOff>
    </xdr:from>
    <xdr:to>
      <xdr:col>5</xdr:col>
      <xdr:colOff>1052944</xdr:colOff>
      <xdr:row>57</xdr:row>
      <xdr:rowOff>397162</xdr:rowOff>
    </xdr:to>
    <xdr:sp macro="" textlink="KPI!A9">
      <xdr:nvSpPr>
        <xdr:cNvPr id="68" name="TextBox 67">
          <a:extLst>
            <a:ext uri="{FF2B5EF4-FFF2-40B4-BE49-F238E27FC236}">
              <a16:creationId xmlns:a16="http://schemas.microsoft.com/office/drawing/2014/main" id="{A545487C-7B3F-6462-A55D-1D1340D55E8A}"/>
            </a:ext>
          </a:extLst>
        </xdr:cNvPr>
        <xdr:cNvSpPr txBox="1"/>
      </xdr:nvSpPr>
      <xdr:spPr>
        <a:xfrm>
          <a:off x="4156362" y="21871709"/>
          <a:ext cx="3616037" cy="142701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11E953-33EB-48D5-8720-646BCF4EB92A}" type="TxLink">
            <a:rPr lang="en-US" sz="3600" b="1" i="0" u="none" strike="noStrike">
              <a:solidFill>
                <a:srgbClr val="000000"/>
              </a:solidFill>
              <a:latin typeface="Calibri"/>
              <a:ea typeface="Calibri"/>
              <a:cs typeface="Calibri"/>
            </a:rPr>
            <a:t>£10,26 million</a:t>
          </a:fld>
          <a:endParaRPr lang="en-GB" sz="3600" b="1"/>
        </a:p>
      </xdr:txBody>
    </xdr:sp>
    <xdr:clientData/>
  </xdr:twoCellAnchor>
  <xdr:twoCellAnchor>
    <xdr:from>
      <xdr:col>10</xdr:col>
      <xdr:colOff>549563</xdr:colOff>
      <xdr:row>53</xdr:row>
      <xdr:rowOff>110836</xdr:rowOff>
    </xdr:from>
    <xdr:to>
      <xdr:col>13</xdr:col>
      <xdr:colOff>397163</xdr:colOff>
      <xdr:row>58</xdr:row>
      <xdr:rowOff>346363</xdr:rowOff>
    </xdr:to>
    <xdr:sp macro="" textlink="">
      <xdr:nvSpPr>
        <xdr:cNvPr id="70" name="Rectangle: Rounded Corners 69">
          <a:extLst>
            <a:ext uri="{FF2B5EF4-FFF2-40B4-BE49-F238E27FC236}">
              <a16:creationId xmlns:a16="http://schemas.microsoft.com/office/drawing/2014/main" id="{B38A1268-FA8A-618E-DC36-0A09733B1EA5}"/>
            </a:ext>
          </a:extLst>
        </xdr:cNvPr>
        <xdr:cNvSpPr/>
      </xdr:nvSpPr>
      <xdr:spPr>
        <a:xfrm>
          <a:off x="13988472" y="21405272"/>
          <a:ext cx="3879273" cy="2244436"/>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2400" b="1" baseline="0">
              <a:solidFill>
                <a:srgbClr val="00204F"/>
              </a:solidFill>
              <a:latin typeface="+mn-lt"/>
              <a:ea typeface="+mn-ea"/>
              <a:cs typeface="+mn-cs"/>
            </a:rPr>
            <a:t>Overall Cancellation Rate</a:t>
          </a:r>
        </a:p>
      </xdr:txBody>
    </xdr:sp>
    <xdr:clientData/>
  </xdr:twoCellAnchor>
  <xdr:twoCellAnchor>
    <xdr:from>
      <xdr:col>10</xdr:col>
      <xdr:colOff>715817</xdr:colOff>
      <xdr:row>54</xdr:row>
      <xdr:rowOff>332509</xdr:rowOff>
    </xdr:from>
    <xdr:to>
      <xdr:col>13</xdr:col>
      <xdr:colOff>341743</xdr:colOff>
      <xdr:row>58</xdr:row>
      <xdr:rowOff>69273</xdr:rowOff>
    </xdr:to>
    <xdr:sp macro="" textlink="KPI!C9">
      <xdr:nvSpPr>
        <xdr:cNvPr id="71" name="TextBox 70">
          <a:extLst>
            <a:ext uri="{FF2B5EF4-FFF2-40B4-BE49-F238E27FC236}">
              <a16:creationId xmlns:a16="http://schemas.microsoft.com/office/drawing/2014/main" id="{BEC624C2-3D32-C0B4-4983-A521EC5735D3}"/>
            </a:ext>
          </a:extLst>
        </xdr:cNvPr>
        <xdr:cNvSpPr txBox="1"/>
      </xdr:nvSpPr>
      <xdr:spPr>
        <a:xfrm>
          <a:off x="14154726" y="22028727"/>
          <a:ext cx="3657599" cy="134389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5319912-2BD6-4E8C-A5BA-FE7A2A360E49}" type="TxLink">
            <a:rPr lang="en-US" sz="3600" b="1" i="0" u="none" strike="noStrike">
              <a:solidFill>
                <a:srgbClr val="000000"/>
              </a:solidFill>
              <a:latin typeface="Calibri"/>
              <a:ea typeface="Calibri"/>
              <a:cs typeface="Calibri"/>
            </a:rPr>
            <a:pPr marL="0" indent="0" algn="ctr"/>
            <a:t>7,00%</a:t>
          </a:fld>
          <a:endParaRPr lang="en-GB" sz="3600" b="1" i="0" u="none" strike="noStrike">
            <a:solidFill>
              <a:srgbClr val="000000"/>
            </a:solidFill>
            <a:latin typeface="Calibri"/>
            <a:ea typeface="Calibri"/>
            <a:cs typeface="Calibri"/>
          </a:endParaRPr>
        </a:p>
      </xdr:txBody>
    </xdr:sp>
    <xdr:clientData/>
  </xdr:twoCellAnchor>
  <xdr:twoCellAnchor>
    <xdr:from>
      <xdr:col>14</xdr:col>
      <xdr:colOff>27709</xdr:colOff>
      <xdr:row>53</xdr:row>
      <xdr:rowOff>138546</xdr:rowOff>
    </xdr:from>
    <xdr:to>
      <xdr:col>16</xdr:col>
      <xdr:colOff>1219200</xdr:colOff>
      <xdr:row>58</xdr:row>
      <xdr:rowOff>374073</xdr:rowOff>
    </xdr:to>
    <xdr:sp macro="" textlink="">
      <xdr:nvSpPr>
        <xdr:cNvPr id="73" name="Rectangle: Rounded Corners 72">
          <a:extLst>
            <a:ext uri="{FF2B5EF4-FFF2-40B4-BE49-F238E27FC236}">
              <a16:creationId xmlns:a16="http://schemas.microsoft.com/office/drawing/2014/main" id="{1C8D2BA7-4063-3F7F-6AEA-5E320834AFC0}"/>
            </a:ext>
          </a:extLst>
        </xdr:cNvPr>
        <xdr:cNvSpPr/>
      </xdr:nvSpPr>
      <xdr:spPr>
        <a:xfrm>
          <a:off x="18842182" y="21432982"/>
          <a:ext cx="3879273" cy="2244436"/>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2400" b="1" baseline="0">
              <a:solidFill>
                <a:srgbClr val="00204F"/>
              </a:solidFill>
              <a:latin typeface="+mn-lt"/>
              <a:ea typeface="+mn-ea"/>
              <a:cs typeface="+mn-cs"/>
            </a:rPr>
            <a:t>AVG Customer Cancellation Rate</a:t>
          </a:r>
        </a:p>
      </xdr:txBody>
    </xdr:sp>
    <xdr:clientData/>
  </xdr:twoCellAnchor>
  <xdr:twoCellAnchor>
    <xdr:from>
      <xdr:col>14</xdr:col>
      <xdr:colOff>221673</xdr:colOff>
      <xdr:row>55</xdr:row>
      <xdr:rowOff>152401</xdr:rowOff>
    </xdr:from>
    <xdr:to>
      <xdr:col>16</xdr:col>
      <xdr:colOff>1191490</xdr:colOff>
      <xdr:row>57</xdr:row>
      <xdr:rowOff>318655</xdr:rowOff>
    </xdr:to>
    <xdr:sp macro="" textlink="KPI!A6">
      <xdr:nvSpPr>
        <xdr:cNvPr id="74" name="TextBox 73">
          <a:extLst>
            <a:ext uri="{FF2B5EF4-FFF2-40B4-BE49-F238E27FC236}">
              <a16:creationId xmlns:a16="http://schemas.microsoft.com/office/drawing/2014/main" id="{B8232ABB-DC8E-E14F-CBA1-D8FE68BF58E3}"/>
            </a:ext>
          </a:extLst>
        </xdr:cNvPr>
        <xdr:cNvSpPr txBox="1"/>
      </xdr:nvSpPr>
      <xdr:spPr>
        <a:xfrm>
          <a:off x="19036146" y="22250401"/>
          <a:ext cx="3657599" cy="96981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C89360D-1C12-4FDE-BFA5-65B1B5B104FC}" type="TxLink">
            <a:rPr lang="en-US" sz="3600" b="1" i="0" u="none" strike="noStrike">
              <a:solidFill>
                <a:srgbClr val="000000"/>
              </a:solidFill>
              <a:latin typeface="Calibri"/>
              <a:ea typeface="Calibri"/>
              <a:cs typeface="Calibri"/>
            </a:rPr>
            <a:pPr marL="0" indent="0" algn="ctr"/>
            <a:t>3,36%</a:t>
          </a:fld>
          <a:endParaRPr lang="en-GB" sz="3600" b="1" i="0" u="none" strike="noStrike">
            <a:solidFill>
              <a:srgbClr val="000000"/>
            </a:solidFill>
            <a:latin typeface="Calibri"/>
            <a:ea typeface="Calibri"/>
            <a:cs typeface="Calibri"/>
          </a:endParaRPr>
        </a:p>
      </xdr:txBody>
    </xdr:sp>
    <xdr:clientData/>
  </xdr:twoCellAnchor>
  <xdr:twoCellAnchor>
    <xdr:from>
      <xdr:col>0</xdr:col>
      <xdr:colOff>1302327</xdr:colOff>
      <xdr:row>62</xdr:row>
      <xdr:rowOff>0</xdr:rowOff>
    </xdr:from>
    <xdr:to>
      <xdr:col>8</xdr:col>
      <xdr:colOff>0</xdr:colOff>
      <xdr:row>76</xdr:row>
      <xdr:rowOff>138546</xdr:rowOff>
    </xdr:to>
    <xdr:sp macro="" textlink="">
      <xdr:nvSpPr>
        <xdr:cNvPr id="75" name="Rectangle: Rounded Corners 74">
          <a:extLst>
            <a:ext uri="{FF2B5EF4-FFF2-40B4-BE49-F238E27FC236}">
              <a16:creationId xmlns:a16="http://schemas.microsoft.com/office/drawing/2014/main" id="{81ED7616-90EE-4258-B476-9B2F3CBB13E3}"/>
            </a:ext>
          </a:extLst>
        </xdr:cNvPr>
        <xdr:cNvSpPr/>
      </xdr:nvSpPr>
      <xdr:spPr>
        <a:xfrm>
          <a:off x="1302327" y="24910473"/>
          <a:ext cx="9448800" cy="5763491"/>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2400" b="1"/>
            <a:t>Top</a:t>
          </a:r>
          <a:r>
            <a:rPr lang="en-GB" sz="2400" b="1" baseline="0"/>
            <a:t> 10 Customers by Canellation Value</a:t>
          </a:r>
          <a:endParaRPr lang="en-GB" sz="2400" b="1"/>
        </a:p>
      </xdr:txBody>
    </xdr:sp>
    <xdr:clientData/>
  </xdr:twoCellAnchor>
  <xdr:twoCellAnchor editAs="oneCell">
    <xdr:from>
      <xdr:col>1</xdr:col>
      <xdr:colOff>678872</xdr:colOff>
      <xdr:row>64</xdr:row>
      <xdr:rowOff>110837</xdr:rowOff>
    </xdr:from>
    <xdr:to>
      <xdr:col>7</xdr:col>
      <xdr:colOff>541014</xdr:colOff>
      <xdr:row>75</xdr:row>
      <xdr:rowOff>118841</xdr:rowOff>
    </xdr:to>
    <xdr:pic>
      <xdr:nvPicPr>
        <xdr:cNvPr id="76" name="Picture 75">
          <a:extLst>
            <a:ext uri="{FF2B5EF4-FFF2-40B4-BE49-F238E27FC236}">
              <a16:creationId xmlns:a16="http://schemas.microsoft.com/office/drawing/2014/main" id="{892ADD22-613E-CE0F-2B9E-EA1A3B2D54F1}"/>
            </a:ext>
          </a:extLst>
        </xdr:cNvPr>
        <xdr:cNvPicPr>
          <a:picLocks noChangeAspect="1"/>
        </xdr:cNvPicPr>
      </xdr:nvPicPr>
      <xdr:blipFill>
        <a:blip xmlns:r="http://schemas.openxmlformats.org/officeDocument/2006/relationships" r:embed="rId5"/>
        <a:stretch>
          <a:fillRect/>
        </a:stretch>
      </xdr:blipFill>
      <xdr:spPr>
        <a:xfrm>
          <a:off x="2022763" y="25824873"/>
          <a:ext cx="7925487" cy="4427604"/>
        </a:xfrm>
        <a:prstGeom prst="rect">
          <a:avLst/>
        </a:prstGeom>
      </xdr:spPr>
    </xdr:pic>
    <xdr:clientData/>
  </xdr:twoCellAnchor>
  <xdr:twoCellAnchor>
    <xdr:from>
      <xdr:col>9</xdr:col>
      <xdr:colOff>0</xdr:colOff>
      <xdr:row>62</xdr:row>
      <xdr:rowOff>0</xdr:rowOff>
    </xdr:from>
    <xdr:to>
      <xdr:col>19</xdr:col>
      <xdr:colOff>207818</xdr:colOff>
      <xdr:row>87</xdr:row>
      <xdr:rowOff>1</xdr:rowOff>
    </xdr:to>
    <xdr:sp macro="" textlink="">
      <xdr:nvSpPr>
        <xdr:cNvPr id="78" name="Rectangle: Rounded Corners 77">
          <a:extLst>
            <a:ext uri="{FF2B5EF4-FFF2-40B4-BE49-F238E27FC236}">
              <a16:creationId xmlns:a16="http://schemas.microsoft.com/office/drawing/2014/main" id="{93BFBB3F-88BB-4BA4-8A88-C84B44D54A37}"/>
            </a:ext>
          </a:extLst>
        </xdr:cNvPr>
        <xdr:cNvSpPr/>
      </xdr:nvSpPr>
      <xdr:spPr>
        <a:xfrm>
          <a:off x="12095018" y="24910473"/>
          <a:ext cx="13646727" cy="10044546"/>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2400" b="1"/>
            <a:t>High-Value Customers with Elevated Cancellation Ratios</a:t>
          </a:r>
        </a:p>
      </xdr:txBody>
    </xdr:sp>
    <xdr:clientData/>
  </xdr:twoCellAnchor>
  <xdr:twoCellAnchor editAs="oneCell">
    <xdr:from>
      <xdr:col>9</xdr:col>
      <xdr:colOff>443347</xdr:colOff>
      <xdr:row>64</xdr:row>
      <xdr:rowOff>83127</xdr:rowOff>
    </xdr:from>
    <xdr:to>
      <xdr:col>18</xdr:col>
      <xdr:colOff>1122219</xdr:colOff>
      <xdr:row>85</xdr:row>
      <xdr:rowOff>294030</xdr:rowOff>
    </xdr:to>
    <xdr:pic>
      <xdr:nvPicPr>
        <xdr:cNvPr id="79" name="Picture 78">
          <a:extLst>
            <a:ext uri="{FF2B5EF4-FFF2-40B4-BE49-F238E27FC236}">
              <a16:creationId xmlns:a16="http://schemas.microsoft.com/office/drawing/2014/main" id="{13B9E5B1-62E3-AB6E-E2C1-16147155AECD}"/>
            </a:ext>
          </a:extLst>
        </xdr:cNvPr>
        <xdr:cNvPicPr>
          <a:picLocks noChangeAspect="1"/>
        </xdr:cNvPicPr>
      </xdr:nvPicPr>
      <xdr:blipFill>
        <a:blip xmlns:r="http://schemas.openxmlformats.org/officeDocument/2006/relationships" r:embed="rId6"/>
        <a:stretch>
          <a:fillRect/>
        </a:stretch>
      </xdr:blipFill>
      <xdr:spPr>
        <a:xfrm>
          <a:off x="12538365" y="25797163"/>
          <a:ext cx="12773890" cy="8648322"/>
        </a:xfrm>
        <a:prstGeom prst="rect">
          <a:avLst/>
        </a:prstGeom>
      </xdr:spPr>
    </xdr:pic>
    <xdr:clientData/>
  </xdr:twoCellAnchor>
  <xdr:twoCellAnchor>
    <xdr:from>
      <xdr:col>1</xdr:col>
      <xdr:colOff>0</xdr:colOff>
      <xdr:row>89</xdr:row>
      <xdr:rowOff>0</xdr:rowOff>
    </xdr:from>
    <xdr:to>
      <xdr:col>19</xdr:col>
      <xdr:colOff>304800</xdr:colOff>
      <xdr:row>103</xdr:row>
      <xdr:rowOff>263237</xdr:rowOff>
    </xdr:to>
    <xdr:sp macro="" textlink="">
      <xdr:nvSpPr>
        <xdr:cNvPr id="81" name="Rectangle: Rounded Corners 80">
          <a:extLst>
            <a:ext uri="{FF2B5EF4-FFF2-40B4-BE49-F238E27FC236}">
              <a16:creationId xmlns:a16="http://schemas.microsoft.com/office/drawing/2014/main" id="{5F634A5D-7A2B-4744-8FBF-76D09370A7E2}"/>
            </a:ext>
          </a:extLst>
        </xdr:cNvPr>
        <xdr:cNvSpPr/>
      </xdr:nvSpPr>
      <xdr:spPr>
        <a:xfrm>
          <a:off x="1343891" y="35758582"/>
          <a:ext cx="24494836" cy="5888182"/>
        </a:xfrm>
        <a:prstGeom prst="roundRect">
          <a:avLst>
            <a:gd name="adj" fmla="val 1162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GB" sz="2400" b="1"/>
            <a:t>Recommendations</a:t>
          </a:r>
        </a:p>
        <a:p>
          <a:endParaRPr lang="en-GB" sz="2400" b="1"/>
        </a:p>
        <a:p>
          <a:r>
            <a:rPr lang="en-GB" sz="2400" b="1"/>
            <a:t>1. Investigate high-value one-time cancellations</a:t>
          </a:r>
          <a:endParaRPr lang="en-GB" sz="2400"/>
        </a:p>
        <a:p>
          <a:r>
            <a:rPr lang="en-GB" sz="2400"/>
            <a:t>The customers with the highest cancellation values completed only one purchase and then cancelled it. These cases should be reviewed individually to determine whether they resulted from order-entry errors, payment issues, duplicate orders, unavailable stock or potentially fraudulent activity. As these customers did not return, the company should also assess whether the cancellation process or customer experience discouraged future purchases.</a:t>
          </a:r>
        </a:p>
        <a:p>
          <a:endParaRPr lang="en-GB" sz="2400"/>
        </a:p>
        <a:p>
          <a:r>
            <a:rPr lang="en-GB" sz="2400" b="1"/>
            <a:t>2. Prioritise high-value repeat customers with elevated cancellation rates</a:t>
          </a:r>
          <a:endParaRPr lang="en-GB" sz="2400"/>
        </a:p>
        <a:p>
          <a:r>
            <a:rPr lang="en-GB" sz="2400"/>
            <a:t>Several valuable repeat customers generate significant revenue but also have cancellation rates above the customer average. These customers should be prioritised because reducing their cancellations could protect substantial future revenue. Their transactions should be analysed by product, order size, timing and cancellation frequency, followed by direct customer contact where appropriate to identify recurring service, fulfilment or ordering problems.</a:t>
          </a:r>
        </a:p>
        <a:p>
          <a:endParaRPr lang="en-GB" sz="2400"/>
        </a:p>
        <a:p>
          <a:r>
            <a:rPr lang="en-GB" sz="2400" b="1"/>
            <a:t>Overall recommendation:</a:t>
          </a:r>
          <a:r>
            <a:rPr lang="en-GB" sz="2400"/>
            <a:t> Treat these as two distinct groups: investigate one-time cancellations for possible process failures, and actively manage high-value repeat customers as a retention and revenue-protection opportunity.</a:t>
          </a:r>
        </a:p>
        <a:p>
          <a:pPr algn="ctr"/>
          <a:endParaRPr lang="en-GB" sz="2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5442</xdr:colOff>
      <xdr:row>0</xdr:row>
      <xdr:rowOff>380999</xdr:rowOff>
    </xdr:from>
    <xdr:to>
      <xdr:col>12</xdr:col>
      <xdr:colOff>0</xdr:colOff>
      <xdr:row>17</xdr:row>
      <xdr:rowOff>0</xdr:rowOff>
    </xdr:to>
    <xdr:graphicFrame macro="">
      <xdr:nvGraphicFramePr>
        <xdr:cNvPr id="3" name="Chart 2">
          <a:extLst>
            <a:ext uri="{FF2B5EF4-FFF2-40B4-BE49-F238E27FC236}">
              <a16:creationId xmlns:a16="http://schemas.microsoft.com/office/drawing/2014/main" id="{997A449D-4D07-23D3-B268-542971683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1337310</xdr:colOff>
      <xdr:row>1</xdr:row>
      <xdr:rowOff>41910</xdr:rowOff>
    </xdr:from>
    <xdr:to>
      <xdr:col>7</xdr:col>
      <xdr:colOff>1043940</xdr:colOff>
      <xdr:row>12</xdr:row>
      <xdr:rowOff>342900</xdr:rowOff>
    </xdr:to>
    <xdr:graphicFrame macro="">
      <xdr:nvGraphicFramePr>
        <xdr:cNvPr id="2" name="Chart 1">
          <a:extLst>
            <a:ext uri="{FF2B5EF4-FFF2-40B4-BE49-F238E27FC236}">
              <a16:creationId xmlns:a16="http://schemas.microsoft.com/office/drawing/2014/main" id="{D5903D20-11C6-7807-33D1-B83A33EC2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11430</xdr:colOff>
      <xdr:row>0</xdr:row>
      <xdr:rowOff>392430</xdr:rowOff>
    </xdr:from>
    <xdr:to>
      <xdr:col>7</xdr:col>
      <xdr:colOff>373380</xdr:colOff>
      <xdr:row>11</xdr:row>
      <xdr:rowOff>152400</xdr:rowOff>
    </xdr:to>
    <xdr:graphicFrame macro="">
      <xdr:nvGraphicFramePr>
        <xdr:cNvPr id="2" name="Chart 1">
          <a:extLst>
            <a:ext uri="{FF2B5EF4-FFF2-40B4-BE49-F238E27FC236}">
              <a16:creationId xmlns:a16="http://schemas.microsoft.com/office/drawing/2014/main" id="{ED30FA4D-C246-4331-8113-77685AB7F8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259080</xdr:colOff>
      <xdr:row>12</xdr:row>
      <xdr:rowOff>243840</xdr:rowOff>
    </xdr:from>
    <xdr:to>
      <xdr:col>3</xdr:col>
      <xdr:colOff>91440</xdr:colOff>
      <xdr:row>14</xdr:row>
      <xdr:rowOff>243840</xdr:rowOff>
    </xdr:to>
    <xdr:sp macro="" textlink="$B$11">
      <xdr:nvSpPr>
        <xdr:cNvPr id="4" name="TextBox 3">
          <a:extLst>
            <a:ext uri="{FF2B5EF4-FFF2-40B4-BE49-F238E27FC236}">
              <a16:creationId xmlns:a16="http://schemas.microsoft.com/office/drawing/2014/main" id="{F8A2479B-DC49-9F0A-E7F4-CFE147D6B6CD}"/>
            </a:ext>
          </a:extLst>
        </xdr:cNvPr>
        <xdr:cNvSpPr txBox="1"/>
      </xdr:nvSpPr>
      <xdr:spPr>
        <a:xfrm>
          <a:off x="5593080" y="4998720"/>
          <a:ext cx="2567940" cy="792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FB221B-2A26-4951-AB13-1B82B8DCC1DC}" name="Table1" displayName="Table1" ref="B2:C7" totalsRowShown="0">
  <autoFilter ref="B2:C7" xr:uid="{DAFB221B-2A26-4951-AB13-1B82B8DCC1DC}"/>
  <tableColumns count="2">
    <tableColumn id="1" xr3:uid="{A6B8EF0E-7E03-4E72-95D4-F42992DAF508}" name="CustomerID"/>
    <tableColumn id="2" xr3:uid="{0578CEAF-0804-4498-B061-40B3D7F3E3AE}" name="NetRevenue" dataCellStyle="Currency"/>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B1CE6C-38B4-42A7-9C40-D1DEE09CE3DD}" name="Table2" displayName="Table2" ref="A1:C11" totalsRowShown="0">
  <tableColumns count="3">
    <tableColumn id="1" xr3:uid="{C234D587-7B73-4AA8-8194-29FF1874431F}" name="CustomerID"/>
    <tableColumn id="2" xr3:uid="{CFB7CD5F-5F90-4DE0-A54E-E23CF53FC0C7}" name="CancellationInvoices"/>
    <tableColumn id="3" xr3:uid="{AFE450FA-9EF2-4F5E-8926-5B73BC5F8BFA}" name="TotalCancellationValue" dataDxfId="2"/>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0F6D5F-5C05-494F-9F3D-B09B046B4C4C}" name="Table3" displayName="Table3" ref="A1:F23" totalsRowShown="0">
  <tableColumns count="6">
    <tableColumn id="1" xr3:uid="{F422B0C6-E73C-4252-9074-39AB8F81B58A}" name="CustomerID"/>
    <tableColumn id="4" xr3:uid="{0F48F19F-6D3E-49F4-A256-F3A899F31770}" name="SalesLines"/>
    <tableColumn id="5" xr3:uid="{77A84B70-2D6F-4130-9FB4-56F8D03209EA}" name="CancellationLines"/>
    <tableColumn id="2" xr3:uid="{98C30E50-F027-4248-A454-1D5BA172C76E}" name="SalesValue" dataDxfId="1"/>
    <tableColumn id="3" xr3:uid="{2CCC9D6E-4850-4B8E-AF0C-62ACBC2FE9E7}" name="CancellationValue" dataDxfId="0" dataCellStyle="Currency"/>
    <tableColumn id="6" xr3:uid="{E46167CA-C107-477C-A65C-6BD5DFD407CE}" name="CancellationValueRatePc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63D7C-9BB0-46A9-BF88-6134D4D99B90}">
  <dimension ref="A1"/>
  <sheetViews>
    <sheetView tabSelected="1" topLeftCell="A28" zoomScale="55" zoomScaleNormal="55" workbookViewId="0">
      <selection activeCell="R56" sqref="R56"/>
    </sheetView>
  </sheetViews>
  <sheetFormatPr defaultRowHeight="31.2" x14ac:dyDescent="0.6"/>
  <cols>
    <col min="1" max="16384" width="8.796875" style="2"/>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32F28-EE6C-4995-9748-E6BCE91C7DCA}">
  <dimension ref="A1:C9"/>
  <sheetViews>
    <sheetView workbookViewId="0">
      <selection activeCell="D10" sqref="D10"/>
    </sheetView>
  </sheetViews>
  <sheetFormatPr defaultRowHeight="31.2" x14ac:dyDescent="0.6"/>
  <cols>
    <col min="1" max="1" width="31.6484375" bestFit="1" customWidth="1"/>
    <col min="2" max="2" width="19.69921875" bestFit="1" customWidth="1"/>
    <col min="3" max="3" width="22.19921875" bestFit="1" customWidth="1"/>
  </cols>
  <sheetData>
    <row r="1" spans="1:3" x14ac:dyDescent="0.6">
      <c r="A1" s="6" t="s">
        <v>129</v>
      </c>
      <c r="B1" s="6" t="s">
        <v>130</v>
      </c>
      <c r="C1" s="6" t="s">
        <v>131</v>
      </c>
    </row>
    <row r="2" spans="1:3" x14ac:dyDescent="0.6">
      <c r="A2" s="7">
        <v>9543303.9299999997</v>
      </c>
      <c r="B2" s="6">
        <v>4364</v>
      </c>
      <c r="C2" s="6">
        <v>3950</v>
      </c>
    </row>
    <row r="5" spans="1:3" x14ac:dyDescent="0.6">
      <c r="A5" s="6" t="s">
        <v>132</v>
      </c>
    </row>
    <row r="6" spans="1:3" x14ac:dyDescent="0.6">
      <c r="A6" s="8">
        <v>3.3599999999999998E-2</v>
      </c>
    </row>
    <row r="8" spans="1:3" x14ac:dyDescent="0.6">
      <c r="A8" s="6" t="s">
        <v>133</v>
      </c>
      <c r="B8" s="6" t="s">
        <v>134</v>
      </c>
      <c r="C8" s="6" t="s">
        <v>135</v>
      </c>
    </row>
    <row r="9" spans="1:3" x14ac:dyDescent="0.6">
      <c r="A9" s="9">
        <v>10261827.32</v>
      </c>
      <c r="B9" s="9">
        <v>718523.39</v>
      </c>
      <c r="C9" s="8">
        <f>B9/A9</f>
        <v>7.0019049005007036E-2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3BF88-BA5E-4A74-ADED-F77E03A8A752}">
  <dimension ref="A1:D23"/>
  <sheetViews>
    <sheetView zoomScale="70" zoomScaleNormal="70" workbookViewId="0">
      <selection activeCell="E6" sqref="E6"/>
    </sheetView>
  </sheetViews>
  <sheetFormatPr defaultRowHeight="31.2" x14ac:dyDescent="0.6"/>
  <cols>
    <col min="1" max="1" width="10.34765625" bestFit="1" customWidth="1"/>
    <col min="2" max="2" width="11.94921875" bestFit="1" customWidth="1"/>
    <col min="3" max="3" width="20.59765625" bestFit="1" customWidth="1"/>
    <col min="4" max="4" width="16.546875" bestFit="1" customWidth="1"/>
  </cols>
  <sheetData>
    <row r="1" spans="1:4" x14ac:dyDescent="0.6">
      <c r="A1" t="s">
        <v>0</v>
      </c>
      <c r="B1" t="s">
        <v>1</v>
      </c>
      <c r="C1" t="s">
        <v>2</v>
      </c>
      <c r="D1" t="s">
        <v>3</v>
      </c>
    </row>
    <row r="2" spans="1:4" x14ac:dyDescent="0.6">
      <c r="A2" s="1">
        <v>40179</v>
      </c>
      <c r="B2" s="4">
        <v>57144.6</v>
      </c>
    </row>
    <row r="3" spans="1:4" x14ac:dyDescent="0.6">
      <c r="A3" s="1">
        <v>40210</v>
      </c>
      <c r="B3" s="4">
        <v>46070.32</v>
      </c>
      <c r="C3" s="5">
        <v>57144.6</v>
      </c>
      <c r="D3">
        <v>-19.38</v>
      </c>
    </row>
    <row r="4" spans="1:4" x14ac:dyDescent="0.6">
      <c r="A4" s="1">
        <v>40238</v>
      </c>
      <c r="B4" s="4">
        <v>43465.65</v>
      </c>
      <c r="C4" s="5">
        <v>46070.32</v>
      </c>
      <c r="D4">
        <v>-5.65</v>
      </c>
    </row>
    <row r="5" spans="1:4" x14ac:dyDescent="0.6">
      <c r="A5" s="1">
        <v>40299</v>
      </c>
      <c r="B5" s="4">
        <v>30546.959999999999</v>
      </c>
      <c r="C5" s="5">
        <v>43465.65</v>
      </c>
      <c r="D5">
        <v>-29.72</v>
      </c>
    </row>
    <row r="6" spans="1:4" x14ac:dyDescent="0.6">
      <c r="A6" s="1">
        <v>40330</v>
      </c>
      <c r="B6" s="4">
        <v>50701.25</v>
      </c>
      <c r="C6" s="5">
        <v>30546.959999999999</v>
      </c>
      <c r="D6">
        <v>65.98</v>
      </c>
    </row>
    <row r="7" spans="1:4" x14ac:dyDescent="0.6">
      <c r="A7" s="1">
        <v>40360</v>
      </c>
      <c r="B7" s="4">
        <v>41728.21</v>
      </c>
      <c r="C7" s="5">
        <v>50701.25</v>
      </c>
      <c r="D7">
        <v>-17.7</v>
      </c>
    </row>
    <row r="8" spans="1:4" x14ac:dyDescent="0.6">
      <c r="A8" s="1">
        <v>40391</v>
      </c>
      <c r="B8" s="4">
        <v>43220.959999999999</v>
      </c>
      <c r="C8" s="5">
        <v>41728.21</v>
      </c>
      <c r="D8">
        <v>3.58</v>
      </c>
    </row>
    <row r="9" spans="1:4" x14ac:dyDescent="0.6">
      <c r="A9" s="1">
        <v>40422</v>
      </c>
      <c r="B9" s="4">
        <v>48940.47</v>
      </c>
      <c r="C9" s="5">
        <v>43220.959999999999</v>
      </c>
      <c r="D9">
        <v>13.23</v>
      </c>
    </row>
    <row r="10" spans="1:4" x14ac:dyDescent="0.6">
      <c r="A10" s="1">
        <v>40452</v>
      </c>
      <c r="B10" s="4">
        <v>55103.199999999997</v>
      </c>
      <c r="C10" s="5">
        <v>48940.47</v>
      </c>
      <c r="D10">
        <v>12.59</v>
      </c>
    </row>
    <row r="11" spans="1:4" x14ac:dyDescent="0.6">
      <c r="A11" s="1">
        <v>40513</v>
      </c>
      <c r="B11" s="4">
        <v>17037.5</v>
      </c>
      <c r="C11" s="5">
        <v>55103.199999999997</v>
      </c>
      <c r="D11">
        <v>-69.08</v>
      </c>
    </row>
    <row r="12" spans="1:4" x14ac:dyDescent="0.6">
      <c r="A12" s="1">
        <v>40544</v>
      </c>
      <c r="B12" s="4">
        <v>250281.78</v>
      </c>
      <c r="C12" s="5">
        <v>17037.5</v>
      </c>
      <c r="D12">
        <v>1369.01</v>
      </c>
    </row>
    <row r="13" spans="1:4" x14ac:dyDescent="0.6">
      <c r="A13" s="1">
        <v>40575</v>
      </c>
      <c r="B13" s="4">
        <v>235205.89</v>
      </c>
      <c r="C13" s="5">
        <v>250281.78</v>
      </c>
      <c r="D13">
        <v>-6.02</v>
      </c>
    </row>
    <row r="14" spans="1:4" x14ac:dyDescent="0.6">
      <c r="A14" s="1">
        <v>40603</v>
      </c>
      <c r="B14" s="4">
        <v>262303.44</v>
      </c>
      <c r="C14" s="5">
        <v>235205.89</v>
      </c>
      <c r="D14">
        <v>11.52</v>
      </c>
    </row>
    <row r="15" spans="1:4" x14ac:dyDescent="0.6">
      <c r="A15" s="1">
        <v>40634</v>
      </c>
      <c r="B15" s="4">
        <v>358304.79</v>
      </c>
      <c r="C15" s="5">
        <v>262303.44</v>
      </c>
      <c r="D15">
        <v>36.6</v>
      </c>
    </row>
    <row r="16" spans="1:4" x14ac:dyDescent="0.6">
      <c r="A16" s="1">
        <v>40664</v>
      </c>
      <c r="B16" s="4">
        <v>298449.63</v>
      </c>
      <c r="C16" s="5">
        <v>358304.79</v>
      </c>
      <c r="D16">
        <v>-16.71</v>
      </c>
    </row>
    <row r="17" spans="1:4" x14ac:dyDescent="0.6">
      <c r="A17" s="1">
        <v>40695</v>
      </c>
      <c r="B17" s="4">
        <v>323354.21999999997</v>
      </c>
      <c r="C17" s="5">
        <v>298449.63</v>
      </c>
      <c r="D17">
        <v>8.34</v>
      </c>
    </row>
    <row r="18" spans="1:4" x14ac:dyDescent="0.6">
      <c r="A18" s="1">
        <v>40725</v>
      </c>
      <c r="B18" s="4">
        <v>392835.68</v>
      </c>
      <c r="C18" s="5">
        <v>323354.21999999997</v>
      </c>
      <c r="D18">
        <v>21.49</v>
      </c>
    </row>
    <row r="19" spans="1:4" x14ac:dyDescent="0.6">
      <c r="A19" s="1">
        <v>40756</v>
      </c>
      <c r="B19" s="4">
        <v>330103.51</v>
      </c>
      <c r="C19" s="5">
        <v>392835.68</v>
      </c>
      <c r="D19">
        <v>-15.97</v>
      </c>
    </row>
    <row r="20" spans="1:4" x14ac:dyDescent="0.6">
      <c r="A20" s="1">
        <v>40787</v>
      </c>
      <c r="B20" s="4">
        <v>282228.34000000003</v>
      </c>
      <c r="C20" s="5">
        <v>330103.51</v>
      </c>
      <c r="D20">
        <v>-14.5</v>
      </c>
    </row>
    <row r="21" spans="1:4" x14ac:dyDescent="0.6">
      <c r="A21" s="1">
        <v>40817</v>
      </c>
      <c r="B21" s="4">
        <v>319986.21000000002</v>
      </c>
      <c r="C21" s="5">
        <v>282228.34000000003</v>
      </c>
      <c r="D21">
        <v>13.38</v>
      </c>
    </row>
    <row r="22" spans="1:4" x14ac:dyDescent="0.6">
      <c r="A22" s="1">
        <v>40848</v>
      </c>
      <c r="B22" s="4">
        <v>378465.9</v>
      </c>
      <c r="C22" s="5">
        <v>319986.21000000002</v>
      </c>
      <c r="D22">
        <v>18.28</v>
      </c>
    </row>
    <row r="23" spans="1:4" x14ac:dyDescent="0.6">
      <c r="A23" s="1">
        <v>40878</v>
      </c>
      <c r="B23" s="4">
        <v>221569.94</v>
      </c>
      <c r="C23" s="5">
        <v>378465.9</v>
      </c>
      <c r="D23">
        <v>-41.46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8091F-0AFE-4CDE-A9F9-5D988CADC9F4}">
  <dimension ref="A1:B39"/>
  <sheetViews>
    <sheetView workbookViewId="0">
      <selection activeCell="C9" sqref="C9"/>
    </sheetView>
  </sheetViews>
  <sheetFormatPr defaultRowHeight="31.2" x14ac:dyDescent="0.6"/>
  <cols>
    <col min="1" max="1" width="23.8984375" bestFit="1" customWidth="1"/>
    <col min="2" max="2" width="10.69921875" bestFit="1" customWidth="1"/>
  </cols>
  <sheetData>
    <row r="1" spans="1:2" x14ac:dyDescent="0.6">
      <c r="A1" t="s">
        <v>4</v>
      </c>
      <c r="B1" t="s">
        <v>1</v>
      </c>
    </row>
    <row r="2" spans="1:2" x14ac:dyDescent="0.6">
      <c r="A2" t="s">
        <v>5</v>
      </c>
      <c r="B2">
        <v>8053376.1299999999</v>
      </c>
    </row>
    <row r="3" spans="1:2" x14ac:dyDescent="0.6">
      <c r="A3" t="s">
        <v>6</v>
      </c>
      <c r="B3">
        <v>283479.53999999998</v>
      </c>
    </row>
    <row r="4" spans="1:2" x14ac:dyDescent="0.6">
      <c r="A4" t="s">
        <v>7</v>
      </c>
      <c r="B4">
        <v>259380.02</v>
      </c>
    </row>
    <row r="5" spans="1:2" x14ac:dyDescent="0.6">
      <c r="A5" t="s">
        <v>8</v>
      </c>
      <c r="B5">
        <v>200619.66</v>
      </c>
    </row>
    <row r="6" spans="1:2" x14ac:dyDescent="0.6">
      <c r="A6" t="s">
        <v>9</v>
      </c>
      <c r="B6">
        <v>182076.6</v>
      </c>
    </row>
    <row r="7" spans="1:2" x14ac:dyDescent="0.6">
      <c r="A7" t="s">
        <v>10</v>
      </c>
      <c r="B7">
        <v>136922.5</v>
      </c>
    </row>
    <row r="8" spans="1:2" x14ac:dyDescent="0.6">
      <c r="A8" t="s">
        <v>11</v>
      </c>
      <c r="B8">
        <v>52483.05</v>
      </c>
    </row>
    <row r="9" spans="1:2" x14ac:dyDescent="0.6">
      <c r="A9" t="s">
        <v>12</v>
      </c>
      <c r="B9">
        <v>51746.65</v>
      </c>
    </row>
    <row r="10" spans="1:2" x14ac:dyDescent="0.6">
      <c r="A10" t="s">
        <v>13</v>
      </c>
      <c r="B10">
        <v>36662.959999999999</v>
      </c>
    </row>
    <row r="11" spans="1:2" x14ac:dyDescent="0.6">
      <c r="A11" t="s">
        <v>14</v>
      </c>
      <c r="B11">
        <v>35419.79</v>
      </c>
    </row>
    <row r="12" spans="1:2" x14ac:dyDescent="0.6">
      <c r="A12" t="s">
        <v>15</v>
      </c>
      <c r="B12">
        <v>35166.410000000003</v>
      </c>
    </row>
    <row r="13" spans="1:2" x14ac:dyDescent="0.6">
      <c r="A13" t="s">
        <v>16</v>
      </c>
      <c r="B13">
        <v>32292.959999999999</v>
      </c>
    </row>
    <row r="14" spans="1:2" x14ac:dyDescent="0.6">
      <c r="A14" t="s">
        <v>17</v>
      </c>
      <c r="B14">
        <v>26807.47</v>
      </c>
    </row>
    <row r="15" spans="1:2" x14ac:dyDescent="0.6">
      <c r="A15" t="s">
        <v>18</v>
      </c>
      <c r="B15">
        <v>19926.39</v>
      </c>
    </row>
    <row r="16" spans="1:2" x14ac:dyDescent="0.6">
      <c r="A16" t="s">
        <v>19</v>
      </c>
      <c r="B16">
        <v>18303.54</v>
      </c>
    </row>
    <row r="17" spans="1:2" x14ac:dyDescent="0.6">
      <c r="A17" t="s">
        <v>20</v>
      </c>
      <c r="B17">
        <v>18042.14</v>
      </c>
    </row>
    <row r="18" spans="1:2" x14ac:dyDescent="0.6">
      <c r="A18" t="s">
        <v>21</v>
      </c>
      <c r="B18">
        <v>15276.34</v>
      </c>
    </row>
    <row r="19" spans="1:2" x14ac:dyDescent="0.6">
      <c r="A19" t="s">
        <v>22</v>
      </c>
      <c r="B19">
        <v>12843.76</v>
      </c>
    </row>
    <row r="20" spans="1:2" x14ac:dyDescent="0.6">
      <c r="A20" t="s">
        <v>23</v>
      </c>
      <c r="B20">
        <v>9733.24</v>
      </c>
    </row>
    <row r="21" spans="1:2" x14ac:dyDescent="0.6">
      <c r="A21" t="s">
        <v>24</v>
      </c>
      <c r="B21">
        <v>9120.39</v>
      </c>
    </row>
    <row r="22" spans="1:2" x14ac:dyDescent="0.6">
      <c r="A22" t="s">
        <v>25</v>
      </c>
      <c r="B22">
        <v>8698.32</v>
      </c>
    </row>
    <row r="23" spans="1:2" x14ac:dyDescent="0.6">
      <c r="A23" t="s">
        <v>26</v>
      </c>
      <c r="B23">
        <v>7901.97</v>
      </c>
    </row>
    <row r="24" spans="1:2" x14ac:dyDescent="0.6">
      <c r="A24" t="s">
        <v>27</v>
      </c>
      <c r="B24">
        <v>6853.14</v>
      </c>
    </row>
    <row r="25" spans="1:2" x14ac:dyDescent="0.6">
      <c r="A25" t="s">
        <v>28</v>
      </c>
      <c r="B25">
        <v>4740.9399999999996</v>
      </c>
    </row>
    <row r="26" spans="1:2" x14ac:dyDescent="0.6">
      <c r="A26" t="s">
        <v>29</v>
      </c>
      <c r="B26">
        <v>4425.5200000000004</v>
      </c>
    </row>
    <row r="27" spans="1:2" x14ac:dyDescent="0.6">
      <c r="A27" t="s">
        <v>30</v>
      </c>
      <c r="B27">
        <v>4310</v>
      </c>
    </row>
    <row r="28" spans="1:2" x14ac:dyDescent="0.6">
      <c r="A28" t="s">
        <v>31</v>
      </c>
      <c r="B28">
        <v>3115.44</v>
      </c>
    </row>
    <row r="29" spans="1:2" x14ac:dyDescent="0.6">
      <c r="A29" t="s">
        <v>32</v>
      </c>
      <c r="B29">
        <v>1980.47</v>
      </c>
    </row>
    <row r="30" spans="1:2" x14ac:dyDescent="0.6">
      <c r="A30" t="s">
        <v>33</v>
      </c>
      <c r="B30">
        <v>1864.78</v>
      </c>
    </row>
    <row r="31" spans="1:2" x14ac:dyDescent="0.6">
      <c r="A31" t="s">
        <v>34</v>
      </c>
      <c r="B31">
        <v>1730.92</v>
      </c>
    </row>
    <row r="32" spans="1:2" x14ac:dyDescent="0.6">
      <c r="A32" t="s">
        <v>35</v>
      </c>
      <c r="B32">
        <v>1693.88</v>
      </c>
    </row>
    <row r="33" spans="1:2" x14ac:dyDescent="0.6">
      <c r="A33" t="s">
        <v>36</v>
      </c>
      <c r="B33">
        <v>1661.06</v>
      </c>
    </row>
    <row r="34" spans="1:2" x14ac:dyDescent="0.6">
      <c r="A34" t="s">
        <v>37</v>
      </c>
      <c r="B34">
        <v>1150.75</v>
      </c>
    </row>
    <row r="35" spans="1:2" x14ac:dyDescent="0.6">
      <c r="A35" t="s">
        <v>38</v>
      </c>
      <c r="B35">
        <v>1143.5999999999999</v>
      </c>
    </row>
    <row r="36" spans="1:2" x14ac:dyDescent="0.6">
      <c r="A36" t="s">
        <v>39</v>
      </c>
      <c r="B36">
        <v>1002.31</v>
      </c>
    </row>
    <row r="37" spans="1:2" x14ac:dyDescent="0.6">
      <c r="A37" t="s">
        <v>40</v>
      </c>
      <c r="B37">
        <v>671.72</v>
      </c>
    </row>
    <row r="38" spans="1:2" x14ac:dyDescent="0.6">
      <c r="A38" t="s">
        <v>41</v>
      </c>
      <c r="B38">
        <v>548.4</v>
      </c>
    </row>
    <row r="39" spans="1:2" x14ac:dyDescent="0.6">
      <c r="A39" t="s">
        <v>42</v>
      </c>
      <c r="B39">
        <v>131.16999999999999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536EC-F9A4-465E-B184-19114E49BA1C}">
  <dimension ref="A1:B11"/>
  <sheetViews>
    <sheetView workbookViewId="0">
      <selection activeCell="C7" sqref="C7"/>
    </sheetView>
  </sheetViews>
  <sheetFormatPr defaultRowHeight="31.2" x14ac:dyDescent="0.6"/>
  <cols>
    <col min="1" max="1" width="35" bestFit="1" customWidth="1"/>
    <col min="2" max="2" width="9.1484375" bestFit="1" customWidth="1"/>
  </cols>
  <sheetData>
    <row r="1" spans="1:2" x14ac:dyDescent="0.6">
      <c r="A1" t="s">
        <v>53</v>
      </c>
      <c r="B1" t="s">
        <v>1</v>
      </c>
    </row>
    <row r="2" spans="1:2" x14ac:dyDescent="0.6">
      <c r="A2" t="s">
        <v>43</v>
      </c>
      <c r="B2">
        <v>164459.49</v>
      </c>
    </row>
    <row r="3" spans="1:2" x14ac:dyDescent="0.6">
      <c r="A3" t="s">
        <v>44</v>
      </c>
      <c r="B3">
        <v>99612.42</v>
      </c>
    </row>
    <row r="4" spans="1:2" x14ac:dyDescent="0.6">
      <c r="A4" t="s">
        <v>45</v>
      </c>
      <c r="B4">
        <v>98243.88</v>
      </c>
    </row>
    <row r="5" spans="1:2" x14ac:dyDescent="0.6">
      <c r="A5" t="s">
        <v>46</v>
      </c>
      <c r="B5">
        <v>92175.79</v>
      </c>
    </row>
    <row r="6" spans="1:2" x14ac:dyDescent="0.6">
      <c r="A6" t="s">
        <v>47</v>
      </c>
      <c r="B6">
        <v>66661.63</v>
      </c>
    </row>
    <row r="7" spans="1:2" x14ac:dyDescent="0.6">
      <c r="A7" t="s">
        <v>48</v>
      </c>
      <c r="B7">
        <v>63715.24</v>
      </c>
    </row>
    <row r="8" spans="1:2" x14ac:dyDescent="0.6">
      <c r="A8" t="s">
        <v>49</v>
      </c>
      <c r="B8">
        <v>58792.42</v>
      </c>
    </row>
    <row r="9" spans="1:2" x14ac:dyDescent="0.6">
      <c r="A9" t="s">
        <v>50</v>
      </c>
      <c r="B9">
        <v>53746.66</v>
      </c>
    </row>
    <row r="10" spans="1:2" x14ac:dyDescent="0.6">
      <c r="A10" t="s">
        <v>51</v>
      </c>
      <c r="B10">
        <v>42030.67</v>
      </c>
    </row>
    <row r="11" spans="1:2" x14ac:dyDescent="0.6">
      <c r="A11" t="s">
        <v>52</v>
      </c>
      <c r="B11">
        <v>41584.43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D0904-A7EF-4480-80C0-122B336CBB7C}">
  <dimension ref="B2:C7"/>
  <sheetViews>
    <sheetView workbookViewId="0">
      <selection activeCell="E7" sqref="E7"/>
    </sheetView>
  </sheetViews>
  <sheetFormatPr defaultRowHeight="31.2" x14ac:dyDescent="0.6"/>
  <cols>
    <col min="2" max="2" width="11.5" bestFit="1" customWidth="1"/>
    <col min="3" max="3" width="12.296875" bestFit="1" customWidth="1"/>
  </cols>
  <sheetData>
    <row r="2" spans="2:3" x14ac:dyDescent="0.6">
      <c r="B2" t="s">
        <v>54</v>
      </c>
      <c r="C2" t="s">
        <v>1</v>
      </c>
    </row>
    <row r="3" spans="2:3" x14ac:dyDescent="0.6">
      <c r="B3">
        <v>14646</v>
      </c>
      <c r="C3" s="3">
        <v>278778.02</v>
      </c>
    </row>
    <row r="4" spans="2:3" x14ac:dyDescent="0.6">
      <c r="B4">
        <v>18102</v>
      </c>
      <c r="C4" s="3">
        <v>259657.3</v>
      </c>
    </row>
    <row r="5" spans="2:3" x14ac:dyDescent="0.6">
      <c r="B5">
        <v>17450</v>
      </c>
      <c r="C5" s="3">
        <v>189575.53</v>
      </c>
    </row>
    <row r="6" spans="2:3" x14ac:dyDescent="0.6">
      <c r="B6">
        <v>14911</v>
      </c>
      <c r="C6" s="3">
        <v>128768.24</v>
      </c>
    </row>
    <row r="7" spans="2:3" x14ac:dyDescent="0.6">
      <c r="B7">
        <v>12415</v>
      </c>
      <c r="C7" s="3">
        <v>123638.18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7A846-8183-4C7D-A2E6-927E916F33DA}">
  <dimension ref="A1:C11"/>
  <sheetViews>
    <sheetView workbookViewId="0">
      <selection activeCell="B15" sqref="B15"/>
    </sheetView>
  </sheetViews>
  <sheetFormatPr defaultRowHeight="31.2" x14ac:dyDescent="0.6"/>
  <cols>
    <col min="1" max="1" width="11.5" bestFit="1" customWidth="1"/>
    <col min="2" max="2" width="18.84765625" bestFit="1" customWidth="1"/>
    <col min="3" max="3" width="21.09765625" bestFit="1" customWidth="1"/>
  </cols>
  <sheetData>
    <row r="1" spans="1:3" x14ac:dyDescent="0.6">
      <c r="A1" t="s">
        <v>54</v>
      </c>
      <c r="B1" t="s">
        <v>55</v>
      </c>
      <c r="C1" t="s">
        <v>56</v>
      </c>
    </row>
    <row r="2" spans="1:3" x14ac:dyDescent="0.6">
      <c r="A2">
        <v>16446</v>
      </c>
      <c r="B2">
        <v>1</v>
      </c>
      <c r="C2" s="4">
        <v>168469.6</v>
      </c>
    </row>
    <row r="3" spans="1:3" x14ac:dyDescent="0.6">
      <c r="A3">
        <v>12346</v>
      </c>
      <c r="B3">
        <v>1</v>
      </c>
      <c r="C3" s="4">
        <v>77183.600000000006</v>
      </c>
    </row>
    <row r="4" spans="1:3" x14ac:dyDescent="0.6">
      <c r="A4">
        <v>15749</v>
      </c>
      <c r="B4">
        <v>1</v>
      </c>
      <c r="C4" s="4">
        <v>22998.400000000001</v>
      </c>
    </row>
    <row r="5" spans="1:3" x14ac:dyDescent="0.6">
      <c r="A5">
        <v>16029</v>
      </c>
      <c r="B5">
        <v>4</v>
      </c>
      <c r="C5" s="4">
        <v>12338.16</v>
      </c>
    </row>
    <row r="6" spans="1:3" x14ac:dyDescent="0.6">
      <c r="A6">
        <v>12931</v>
      </c>
      <c r="B6">
        <v>4</v>
      </c>
      <c r="C6" s="4">
        <v>8511.15</v>
      </c>
    </row>
    <row r="7" spans="1:3" x14ac:dyDescent="0.6">
      <c r="A7">
        <v>14911</v>
      </c>
      <c r="B7">
        <v>44</v>
      </c>
      <c r="C7" s="4">
        <v>7393.59</v>
      </c>
    </row>
    <row r="8" spans="1:3" x14ac:dyDescent="0.6">
      <c r="A8">
        <v>14607</v>
      </c>
      <c r="B8">
        <v>3</v>
      </c>
      <c r="C8" s="4">
        <v>5228.3999999999996</v>
      </c>
    </row>
    <row r="9" spans="1:3" x14ac:dyDescent="0.6">
      <c r="A9">
        <v>17450</v>
      </c>
      <c r="B9">
        <v>3</v>
      </c>
      <c r="C9" s="4">
        <v>4815.26</v>
      </c>
    </row>
    <row r="10" spans="1:3" x14ac:dyDescent="0.6">
      <c r="A10">
        <v>17949</v>
      </c>
      <c r="B10">
        <v>5</v>
      </c>
      <c r="C10" s="4">
        <v>4814.74</v>
      </c>
    </row>
    <row r="11" spans="1:3" x14ac:dyDescent="0.6">
      <c r="A11">
        <v>15482</v>
      </c>
      <c r="B11">
        <v>4</v>
      </c>
      <c r="C11" s="4">
        <v>4486.24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4A717-D420-45E5-9215-7077DC1A4622}">
  <dimension ref="A1:F23"/>
  <sheetViews>
    <sheetView zoomScale="55" zoomScaleNormal="55" workbookViewId="0">
      <selection activeCell="I15" sqref="I15"/>
    </sheetView>
  </sheetViews>
  <sheetFormatPr defaultRowHeight="31.2" x14ac:dyDescent="0.6"/>
  <cols>
    <col min="1" max="1" width="11.5" bestFit="1" customWidth="1"/>
    <col min="2" max="2" width="10.09765625" bestFit="1" customWidth="1"/>
    <col min="3" max="3" width="16.19921875" bestFit="1" customWidth="1"/>
    <col min="4" max="4" width="12.046875" bestFit="1" customWidth="1"/>
    <col min="5" max="5" width="16.75" bestFit="1" customWidth="1"/>
    <col min="6" max="6" width="23.296875" bestFit="1" customWidth="1"/>
    <col min="8" max="8" width="23.296875" bestFit="1" customWidth="1"/>
  </cols>
  <sheetData>
    <row r="1" spans="1:6" x14ac:dyDescent="0.6">
      <c r="A1" t="s">
        <v>54</v>
      </c>
      <c r="B1" t="s">
        <v>59</v>
      </c>
      <c r="C1" t="s">
        <v>60</v>
      </c>
      <c r="D1" t="s">
        <v>57</v>
      </c>
      <c r="E1" t="s">
        <v>58</v>
      </c>
      <c r="F1" t="s">
        <v>61</v>
      </c>
    </row>
    <row r="2" spans="1:6" x14ac:dyDescent="0.6">
      <c r="A2">
        <v>15482</v>
      </c>
      <c r="B2">
        <v>96</v>
      </c>
      <c r="C2">
        <v>29</v>
      </c>
      <c r="D2" s="4">
        <v>10839.76</v>
      </c>
      <c r="E2" s="5">
        <v>4486.24</v>
      </c>
      <c r="F2">
        <v>41.39</v>
      </c>
    </row>
    <row r="3" spans="1:6" x14ac:dyDescent="0.6">
      <c r="A3">
        <v>14607</v>
      </c>
      <c r="B3">
        <v>78</v>
      </c>
      <c r="C3">
        <v>28</v>
      </c>
      <c r="D3" s="4">
        <v>15021.5</v>
      </c>
      <c r="E3" s="5">
        <v>5228.3999999999996</v>
      </c>
      <c r="F3">
        <v>34.81</v>
      </c>
    </row>
    <row r="4" spans="1:6" x14ac:dyDescent="0.6">
      <c r="A4">
        <v>12931</v>
      </c>
      <c r="B4">
        <v>82</v>
      </c>
      <c r="C4">
        <v>19</v>
      </c>
      <c r="D4" s="4">
        <v>42055.96</v>
      </c>
      <c r="E4" s="5">
        <v>8511.15</v>
      </c>
      <c r="F4">
        <v>20.239999999999998</v>
      </c>
    </row>
    <row r="5" spans="1:6" x14ac:dyDescent="0.6">
      <c r="A5">
        <v>16029</v>
      </c>
      <c r="B5">
        <v>240</v>
      </c>
      <c r="C5">
        <v>20</v>
      </c>
      <c r="D5" s="4">
        <v>72708.09</v>
      </c>
      <c r="E5" s="5">
        <v>12338.16</v>
      </c>
      <c r="F5">
        <v>16.97</v>
      </c>
    </row>
    <row r="6" spans="1:6" x14ac:dyDescent="0.6">
      <c r="A6">
        <v>14031</v>
      </c>
      <c r="B6">
        <v>250</v>
      </c>
      <c r="C6">
        <v>7</v>
      </c>
      <c r="D6" s="4">
        <v>17286.86</v>
      </c>
      <c r="E6" s="5">
        <v>2587.9499999999998</v>
      </c>
      <c r="F6">
        <v>14.97</v>
      </c>
    </row>
    <row r="7" spans="1:6" x14ac:dyDescent="0.6">
      <c r="A7">
        <v>13113</v>
      </c>
      <c r="B7">
        <v>201</v>
      </c>
      <c r="C7">
        <v>78</v>
      </c>
      <c r="D7" s="4">
        <v>12245.96</v>
      </c>
      <c r="E7" s="5">
        <v>1722.31</v>
      </c>
      <c r="F7">
        <v>14.06</v>
      </c>
    </row>
    <row r="8" spans="1:6" x14ac:dyDescent="0.6">
      <c r="A8">
        <v>16013</v>
      </c>
      <c r="B8">
        <v>139</v>
      </c>
      <c r="C8">
        <v>10</v>
      </c>
      <c r="D8" s="4">
        <v>37130.6</v>
      </c>
      <c r="E8" s="5">
        <v>3677.15</v>
      </c>
      <c r="F8">
        <v>9.9</v>
      </c>
    </row>
    <row r="9" spans="1:6" x14ac:dyDescent="0.6">
      <c r="A9">
        <v>16525</v>
      </c>
      <c r="B9">
        <v>183</v>
      </c>
      <c r="C9">
        <v>17</v>
      </c>
      <c r="D9" s="4">
        <v>13027.45</v>
      </c>
      <c r="E9" s="5">
        <v>1131.8800000000001</v>
      </c>
      <c r="F9">
        <v>8.69</v>
      </c>
    </row>
    <row r="10" spans="1:6" x14ac:dyDescent="0.6">
      <c r="A10">
        <v>17949</v>
      </c>
      <c r="B10">
        <v>69</v>
      </c>
      <c r="C10">
        <v>7</v>
      </c>
      <c r="D10" s="4">
        <v>58030.48</v>
      </c>
      <c r="E10" s="5">
        <v>4814.74</v>
      </c>
      <c r="F10">
        <v>8.3000000000000007</v>
      </c>
    </row>
    <row r="11" spans="1:6" x14ac:dyDescent="0.6">
      <c r="A11">
        <v>15769</v>
      </c>
      <c r="B11">
        <v>130</v>
      </c>
      <c r="C11">
        <v>17</v>
      </c>
      <c r="D11" s="4">
        <v>56252.72</v>
      </c>
      <c r="E11" s="5">
        <v>4429</v>
      </c>
      <c r="F11">
        <v>7.87</v>
      </c>
    </row>
    <row r="12" spans="1:6" x14ac:dyDescent="0.6">
      <c r="A12">
        <v>12901</v>
      </c>
      <c r="B12">
        <v>116</v>
      </c>
      <c r="C12">
        <v>7</v>
      </c>
      <c r="D12" s="4">
        <v>17654.54</v>
      </c>
      <c r="E12" s="5">
        <v>1338.4</v>
      </c>
      <c r="F12">
        <v>7.58</v>
      </c>
    </row>
    <row r="13" spans="1:6" x14ac:dyDescent="0.6">
      <c r="A13">
        <v>16839</v>
      </c>
      <c r="B13">
        <v>266</v>
      </c>
      <c r="C13">
        <v>31</v>
      </c>
      <c r="D13" s="4">
        <v>16594.349999999999</v>
      </c>
      <c r="E13" s="5">
        <v>1232.07</v>
      </c>
      <c r="F13">
        <v>7.42</v>
      </c>
    </row>
    <row r="14" spans="1:6" x14ac:dyDescent="0.6">
      <c r="A14">
        <v>14680</v>
      </c>
      <c r="B14">
        <v>258</v>
      </c>
      <c r="C14">
        <v>62</v>
      </c>
      <c r="D14" s="4">
        <v>28754.11</v>
      </c>
      <c r="E14" s="5">
        <v>1821.77</v>
      </c>
      <c r="F14">
        <v>6.34</v>
      </c>
    </row>
    <row r="15" spans="1:6" x14ac:dyDescent="0.6">
      <c r="A15">
        <v>12471</v>
      </c>
      <c r="B15">
        <v>438</v>
      </c>
      <c r="C15">
        <v>70</v>
      </c>
      <c r="D15" s="4">
        <v>17388.650000000001</v>
      </c>
      <c r="E15" s="5">
        <v>1065.1300000000001</v>
      </c>
      <c r="F15">
        <v>6.13</v>
      </c>
    </row>
    <row r="16" spans="1:6" x14ac:dyDescent="0.6">
      <c r="A16">
        <v>12748</v>
      </c>
      <c r="B16">
        <v>4397</v>
      </c>
      <c r="C16">
        <v>43</v>
      </c>
      <c r="D16" s="4">
        <v>31650.78</v>
      </c>
      <c r="E16" s="5">
        <v>1830.79</v>
      </c>
      <c r="F16">
        <v>5.78</v>
      </c>
    </row>
    <row r="17" spans="1:6" x14ac:dyDescent="0.6">
      <c r="A17">
        <v>14911</v>
      </c>
      <c r="B17">
        <v>5586</v>
      </c>
      <c r="C17">
        <v>222</v>
      </c>
      <c r="D17" s="4">
        <v>136161.82999999999</v>
      </c>
      <c r="E17" s="5">
        <v>7393.59</v>
      </c>
      <c r="F17">
        <v>5.43</v>
      </c>
    </row>
    <row r="18" spans="1:6" x14ac:dyDescent="0.6">
      <c r="A18">
        <v>17404</v>
      </c>
      <c r="B18">
        <v>195</v>
      </c>
      <c r="C18">
        <v>3</v>
      </c>
      <c r="D18" s="4">
        <v>31781.82</v>
      </c>
      <c r="E18" s="5">
        <v>1606</v>
      </c>
      <c r="F18">
        <v>5.05</v>
      </c>
    </row>
    <row r="19" spans="1:6" x14ac:dyDescent="0.6">
      <c r="A19">
        <v>17107</v>
      </c>
      <c r="B19">
        <v>416</v>
      </c>
      <c r="C19">
        <v>3</v>
      </c>
      <c r="D19" s="4">
        <v>10797.48</v>
      </c>
      <c r="E19" s="5">
        <v>435</v>
      </c>
      <c r="F19">
        <v>4.03</v>
      </c>
    </row>
    <row r="20" spans="1:6" x14ac:dyDescent="0.6">
      <c r="A20">
        <v>17706</v>
      </c>
      <c r="B20">
        <v>382</v>
      </c>
      <c r="C20">
        <v>13</v>
      </c>
      <c r="D20" s="4">
        <v>10504.49</v>
      </c>
      <c r="E20" s="5">
        <v>407.12</v>
      </c>
      <c r="F20">
        <v>3.88</v>
      </c>
    </row>
    <row r="21" spans="1:6" x14ac:dyDescent="0.6">
      <c r="A21">
        <v>14606</v>
      </c>
      <c r="B21">
        <v>2675</v>
      </c>
      <c r="C21">
        <v>81</v>
      </c>
      <c r="D21" s="4">
        <v>11941.15</v>
      </c>
      <c r="E21" s="5">
        <v>439.55</v>
      </c>
      <c r="F21">
        <v>3.68</v>
      </c>
    </row>
    <row r="22" spans="1:6" x14ac:dyDescent="0.6">
      <c r="A22">
        <v>15125</v>
      </c>
      <c r="B22">
        <v>127</v>
      </c>
      <c r="C22">
        <v>13</v>
      </c>
      <c r="D22" s="4">
        <v>11528.48</v>
      </c>
      <c r="E22" s="5">
        <v>411.43</v>
      </c>
      <c r="F22">
        <v>3.57</v>
      </c>
    </row>
    <row r="23" spans="1:6" x14ac:dyDescent="0.6">
      <c r="A23">
        <v>17865</v>
      </c>
      <c r="B23">
        <v>369</v>
      </c>
      <c r="C23">
        <v>19</v>
      </c>
      <c r="D23" s="4">
        <v>10524.22</v>
      </c>
      <c r="E23" s="5">
        <v>367.78</v>
      </c>
      <c r="F23">
        <v>3.49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3CFA0-DA4D-4A29-BD9C-AF60676A1D35}">
  <dimension ref="A1:J105"/>
  <sheetViews>
    <sheetView zoomScale="70" zoomScaleNormal="70" workbookViewId="0">
      <selection activeCell="D9" sqref="A9:D11"/>
    </sheetView>
  </sheetViews>
  <sheetFormatPr defaultRowHeight="31.2" x14ac:dyDescent="0.6"/>
  <cols>
    <col min="1" max="1" width="10.296875" bestFit="1" customWidth="1"/>
    <col min="2" max="2" width="9.1484375" bestFit="1" customWidth="1"/>
    <col min="3" max="3" width="37.546875" bestFit="1" customWidth="1"/>
    <col min="4" max="4" width="10.546875" bestFit="1" customWidth="1"/>
    <col min="5" max="5" width="11.796875" bestFit="1" customWidth="1"/>
    <col min="6" max="6" width="12.25" bestFit="1" customWidth="1"/>
    <col min="7" max="7" width="16.44921875" bestFit="1" customWidth="1"/>
    <col min="8" max="8" width="17.75" bestFit="1" customWidth="1"/>
    <col min="9" max="9" width="18.19921875" bestFit="1" customWidth="1"/>
    <col min="10" max="10" width="23.09765625" bestFit="1" customWidth="1"/>
  </cols>
  <sheetData>
    <row r="1" spans="1:10" x14ac:dyDescent="0.6">
      <c r="A1" t="s">
        <v>54</v>
      </c>
      <c r="B1" t="s">
        <v>62</v>
      </c>
      <c r="C1" t="s">
        <v>53</v>
      </c>
      <c r="D1" t="s">
        <v>63</v>
      </c>
      <c r="E1" t="s">
        <v>64</v>
      </c>
      <c r="F1" t="s">
        <v>65</v>
      </c>
      <c r="G1" t="s">
        <v>66</v>
      </c>
      <c r="H1" t="s">
        <v>67</v>
      </c>
      <c r="I1" t="s">
        <v>68</v>
      </c>
      <c r="J1" t="s">
        <v>69</v>
      </c>
    </row>
    <row r="2" spans="1:10" x14ac:dyDescent="0.6">
      <c r="A2">
        <v>15482</v>
      </c>
      <c r="B2">
        <v>21135</v>
      </c>
      <c r="C2" t="s">
        <v>70</v>
      </c>
      <c r="D2">
        <v>578358</v>
      </c>
      <c r="E2">
        <v>288</v>
      </c>
      <c r="F2">
        <v>0.4</v>
      </c>
      <c r="G2" t="s">
        <v>71</v>
      </c>
      <c r="H2">
        <v>-288</v>
      </c>
      <c r="I2">
        <v>0.4</v>
      </c>
      <c r="J2" t="s">
        <v>72</v>
      </c>
    </row>
    <row r="3" spans="1:10" x14ac:dyDescent="0.6">
      <c r="A3">
        <v>15482</v>
      </c>
      <c r="B3">
        <v>21135</v>
      </c>
      <c r="C3" t="s">
        <v>70</v>
      </c>
      <c r="D3">
        <v>578365</v>
      </c>
      <c r="E3">
        <v>288</v>
      </c>
      <c r="F3">
        <v>0.4</v>
      </c>
      <c r="G3" t="s">
        <v>71</v>
      </c>
      <c r="H3">
        <v>-288</v>
      </c>
      <c r="I3">
        <v>0.4</v>
      </c>
      <c r="J3" t="s">
        <v>72</v>
      </c>
    </row>
    <row r="4" spans="1:10" x14ac:dyDescent="0.6">
      <c r="A4">
        <v>15482</v>
      </c>
      <c r="B4">
        <v>21272</v>
      </c>
      <c r="C4" t="s">
        <v>73</v>
      </c>
      <c r="D4">
        <v>548697</v>
      </c>
      <c r="E4">
        <v>24</v>
      </c>
      <c r="F4">
        <v>1.25</v>
      </c>
      <c r="J4" t="s">
        <v>74</v>
      </c>
    </row>
    <row r="5" spans="1:10" x14ac:dyDescent="0.6">
      <c r="A5">
        <v>15482</v>
      </c>
      <c r="B5">
        <v>21843</v>
      </c>
      <c r="C5" t="s">
        <v>75</v>
      </c>
      <c r="D5">
        <v>548697</v>
      </c>
      <c r="E5">
        <v>24</v>
      </c>
      <c r="F5">
        <v>9.9499999999999993</v>
      </c>
      <c r="J5" t="s">
        <v>74</v>
      </c>
    </row>
    <row r="6" spans="1:10" x14ac:dyDescent="0.6">
      <c r="A6">
        <v>15482</v>
      </c>
      <c r="B6">
        <v>21843</v>
      </c>
      <c r="C6" t="s">
        <v>75</v>
      </c>
      <c r="D6">
        <v>578358</v>
      </c>
      <c r="E6">
        <v>72</v>
      </c>
      <c r="F6">
        <v>9.9499999999999993</v>
      </c>
      <c r="G6" t="s">
        <v>71</v>
      </c>
      <c r="H6">
        <v>-72</v>
      </c>
      <c r="I6">
        <v>9.9499999999999993</v>
      </c>
      <c r="J6" t="s">
        <v>72</v>
      </c>
    </row>
    <row r="7" spans="1:10" x14ac:dyDescent="0.6">
      <c r="A7">
        <v>15482</v>
      </c>
      <c r="B7">
        <v>21843</v>
      </c>
      <c r="C7" t="s">
        <v>75</v>
      </c>
      <c r="D7">
        <v>578365</v>
      </c>
      <c r="E7">
        <v>72</v>
      </c>
      <c r="F7">
        <v>4</v>
      </c>
      <c r="J7" t="s">
        <v>74</v>
      </c>
    </row>
    <row r="8" spans="1:10" x14ac:dyDescent="0.6">
      <c r="A8">
        <v>15482</v>
      </c>
      <c r="B8">
        <v>22070</v>
      </c>
      <c r="C8" t="s">
        <v>76</v>
      </c>
      <c r="D8">
        <v>578358</v>
      </c>
      <c r="E8">
        <v>36</v>
      </c>
      <c r="F8">
        <v>3.39</v>
      </c>
      <c r="G8" t="s">
        <v>71</v>
      </c>
      <c r="H8">
        <v>-36</v>
      </c>
      <c r="I8">
        <v>3.39</v>
      </c>
      <c r="J8" t="s">
        <v>72</v>
      </c>
    </row>
    <row r="9" spans="1:10" x14ac:dyDescent="0.6">
      <c r="A9">
        <v>15482</v>
      </c>
      <c r="B9">
        <v>22070</v>
      </c>
      <c r="C9" t="s">
        <v>76</v>
      </c>
      <c r="D9">
        <v>578365</v>
      </c>
      <c r="E9">
        <v>36</v>
      </c>
      <c r="F9">
        <v>1</v>
      </c>
      <c r="J9" t="s">
        <v>74</v>
      </c>
    </row>
    <row r="10" spans="1:10" x14ac:dyDescent="0.6">
      <c r="A10">
        <v>15482</v>
      </c>
      <c r="B10">
        <v>22071</v>
      </c>
      <c r="C10" t="s">
        <v>77</v>
      </c>
      <c r="D10">
        <v>578358</v>
      </c>
      <c r="E10">
        <v>36</v>
      </c>
      <c r="F10">
        <v>1</v>
      </c>
      <c r="G10" t="s">
        <v>71</v>
      </c>
      <c r="H10">
        <v>-36</v>
      </c>
      <c r="I10">
        <v>1</v>
      </c>
      <c r="J10" t="s">
        <v>72</v>
      </c>
    </row>
    <row r="11" spans="1:10" x14ac:dyDescent="0.6">
      <c r="A11">
        <v>15482</v>
      </c>
      <c r="B11">
        <v>22071</v>
      </c>
      <c r="C11" t="s">
        <v>77</v>
      </c>
      <c r="D11">
        <v>578365</v>
      </c>
      <c r="E11">
        <v>36</v>
      </c>
      <c r="F11">
        <v>1</v>
      </c>
      <c r="G11" t="s">
        <v>71</v>
      </c>
      <c r="H11">
        <v>-36</v>
      </c>
      <c r="I11">
        <v>1</v>
      </c>
      <c r="J11" t="s">
        <v>72</v>
      </c>
    </row>
    <row r="12" spans="1:10" x14ac:dyDescent="0.6">
      <c r="A12">
        <v>15482</v>
      </c>
      <c r="B12">
        <v>22086</v>
      </c>
      <c r="C12" t="s">
        <v>48</v>
      </c>
      <c r="D12">
        <v>576172</v>
      </c>
      <c r="E12">
        <v>40</v>
      </c>
      <c r="F12">
        <v>2.5499999999999998</v>
      </c>
      <c r="J12" t="s">
        <v>74</v>
      </c>
    </row>
    <row r="13" spans="1:10" x14ac:dyDescent="0.6">
      <c r="A13">
        <v>15482</v>
      </c>
      <c r="B13">
        <v>22112</v>
      </c>
      <c r="C13" t="s">
        <v>78</v>
      </c>
      <c r="D13">
        <v>576137</v>
      </c>
      <c r="E13">
        <v>24</v>
      </c>
      <c r="F13">
        <v>4.25</v>
      </c>
      <c r="G13" t="s">
        <v>71</v>
      </c>
      <c r="H13">
        <v>-24</v>
      </c>
      <c r="I13">
        <v>4.25</v>
      </c>
      <c r="J13" t="s">
        <v>72</v>
      </c>
    </row>
    <row r="14" spans="1:10" x14ac:dyDescent="0.6">
      <c r="A14">
        <v>15482</v>
      </c>
      <c r="B14">
        <v>22112</v>
      </c>
      <c r="C14" t="s">
        <v>78</v>
      </c>
      <c r="D14">
        <v>576172</v>
      </c>
      <c r="E14">
        <v>24</v>
      </c>
      <c r="F14">
        <v>4.25</v>
      </c>
      <c r="G14" t="s">
        <v>71</v>
      </c>
      <c r="H14">
        <v>-24</v>
      </c>
      <c r="I14">
        <v>4.25</v>
      </c>
      <c r="J14" t="s">
        <v>72</v>
      </c>
    </row>
    <row r="15" spans="1:10" x14ac:dyDescent="0.6">
      <c r="A15">
        <v>15482</v>
      </c>
      <c r="B15">
        <v>22112</v>
      </c>
      <c r="C15" t="s">
        <v>78</v>
      </c>
      <c r="D15">
        <v>578358</v>
      </c>
      <c r="E15">
        <v>24</v>
      </c>
      <c r="F15">
        <v>4.25</v>
      </c>
      <c r="G15" t="s">
        <v>71</v>
      </c>
      <c r="H15">
        <v>-24</v>
      </c>
      <c r="I15">
        <v>4.25</v>
      </c>
      <c r="J15" t="s">
        <v>72</v>
      </c>
    </row>
    <row r="16" spans="1:10" x14ac:dyDescent="0.6">
      <c r="A16">
        <v>15482</v>
      </c>
      <c r="B16">
        <v>22112</v>
      </c>
      <c r="C16" t="s">
        <v>78</v>
      </c>
      <c r="D16">
        <v>578365</v>
      </c>
      <c r="E16">
        <v>12</v>
      </c>
      <c r="F16">
        <v>4.25</v>
      </c>
      <c r="J16" t="s">
        <v>74</v>
      </c>
    </row>
    <row r="17" spans="1:10" x14ac:dyDescent="0.6">
      <c r="A17">
        <v>15482</v>
      </c>
      <c r="B17">
        <v>22114</v>
      </c>
      <c r="C17" t="s">
        <v>79</v>
      </c>
      <c r="D17">
        <v>539093</v>
      </c>
      <c r="E17">
        <v>48</v>
      </c>
      <c r="F17">
        <v>3.45</v>
      </c>
      <c r="J17" t="s">
        <v>74</v>
      </c>
    </row>
    <row r="18" spans="1:10" x14ac:dyDescent="0.6">
      <c r="A18">
        <v>15482</v>
      </c>
      <c r="B18">
        <v>22114</v>
      </c>
      <c r="C18" t="s">
        <v>79</v>
      </c>
      <c r="D18">
        <v>576137</v>
      </c>
      <c r="E18">
        <v>24</v>
      </c>
      <c r="F18">
        <v>3.75</v>
      </c>
      <c r="G18" t="s">
        <v>71</v>
      </c>
      <c r="H18">
        <v>-24</v>
      </c>
      <c r="I18">
        <v>3.75</v>
      </c>
      <c r="J18" t="s">
        <v>72</v>
      </c>
    </row>
    <row r="19" spans="1:10" x14ac:dyDescent="0.6">
      <c r="A19">
        <v>15482</v>
      </c>
      <c r="B19">
        <v>22114</v>
      </c>
      <c r="C19" t="s">
        <v>79</v>
      </c>
      <c r="D19">
        <v>576172</v>
      </c>
      <c r="E19">
        <v>24</v>
      </c>
      <c r="F19">
        <v>3.75</v>
      </c>
      <c r="G19" t="s">
        <v>71</v>
      </c>
      <c r="H19">
        <v>-24</v>
      </c>
      <c r="I19">
        <v>3.75</v>
      </c>
      <c r="J19" t="s">
        <v>72</v>
      </c>
    </row>
    <row r="20" spans="1:10" x14ac:dyDescent="0.6">
      <c r="A20">
        <v>15482</v>
      </c>
      <c r="B20">
        <v>22114</v>
      </c>
      <c r="C20" t="s">
        <v>79</v>
      </c>
      <c r="D20">
        <v>578358</v>
      </c>
      <c r="E20">
        <v>24</v>
      </c>
      <c r="F20">
        <v>3.75</v>
      </c>
      <c r="G20" t="s">
        <v>71</v>
      </c>
      <c r="H20">
        <v>-24</v>
      </c>
      <c r="I20">
        <v>3.75</v>
      </c>
      <c r="J20" t="s">
        <v>72</v>
      </c>
    </row>
    <row r="21" spans="1:10" x14ac:dyDescent="0.6">
      <c r="A21">
        <v>15482</v>
      </c>
      <c r="B21">
        <v>22114</v>
      </c>
      <c r="C21" t="s">
        <v>79</v>
      </c>
      <c r="D21">
        <v>578365</v>
      </c>
      <c r="E21">
        <v>12</v>
      </c>
      <c r="F21">
        <v>3.75</v>
      </c>
      <c r="J21" t="s">
        <v>74</v>
      </c>
    </row>
    <row r="22" spans="1:10" x14ac:dyDescent="0.6">
      <c r="A22">
        <v>15482</v>
      </c>
      <c r="B22">
        <v>22173</v>
      </c>
      <c r="C22" t="s">
        <v>80</v>
      </c>
      <c r="D22">
        <v>558126</v>
      </c>
      <c r="E22">
        <v>16</v>
      </c>
      <c r="F22">
        <v>2.95</v>
      </c>
      <c r="J22" t="s">
        <v>74</v>
      </c>
    </row>
    <row r="23" spans="1:10" x14ac:dyDescent="0.6">
      <c r="A23">
        <v>15482</v>
      </c>
      <c r="B23">
        <v>22173</v>
      </c>
      <c r="C23" t="s">
        <v>80</v>
      </c>
      <c r="D23">
        <v>574319</v>
      </c>
      <c r="E23">
        <v>64</v>
      </c>
      <c r="F23">
        <v>2.75</v>
      </c>
      <c r="G23" t="s">
        <v>81</v>
      </c>
      <c r="H23">
        <v>-64</v>
      </c>
      <c r="I23">
        <v>2.75</v>
      </c>
      <c r="J23" t="s">
        <v>72</v>
      </c>
    </row>
    <row r="24" spans="1:10" x14ac:dyDescent="0.6">
      <c r="A24">
        <v>15482</v>
      </c>
      <c r="B24">
        <v>22173</v>
      </c>
      <c r="C24" t="s">
        <v>80</v>
      </c>
      <c r="D24">
        <v>576137</v>
      </c>
      <c r="E24">
        <v>64</v>
      </c>
      <c r="F24">
        <v>2.75</v>
      </c>
      <c r="G24" t="s">
        <v>81</v>
      </c>
      <c r="H24">
        <v>-64</v>
      </c>
      <c r="I24">
        <v>2.75</v>
      </c>
      <c r="J24" t="s">
        <v>72</v>
      </c>
    </row>
    <row r="25" spans="1:10" x14ac:dyDescent="0.6">
      <c r="A25">
        <v>15482</v>
      </c>
      <c r="B25">
        <v>22173</v>
      </c>
      <c r="C25" t="s">
        <v>80</v>
      </c>
      <c r="D25">
        <v>576172</v>
      </c>
      <c r="E25">
        <v>32</v>
      </c>
      <c r="F25">
        <v>2.75</v>
      </c>
      <c r="J25" t="s">
        <v>74</v>
      </c>
    </row>
    <row r="26" spans="1:10" x14ac:dyDescent="0.6">
      <c r="A26">
        <v>15482</v>
      </c>
      <c r="B26">
        <v>22197</v>
      </c>
      <c r="C26" t="s">
        <v>82</v>
      </c>
      <c r="D26">
        <v>576137</v>
      </c>
      <c r="E26">
        <v>100</v>
      </c>
      <c r="F26">
        <v>0.72</v>
      </c>
      <c r="J26" t="s">
        <v>74</v>
      </c>
    </row>
    <row r="27" spans="1:10" x14ac:dyDescent="0.6">
      <c r="A27">
        <v>15482</v>
      </c>
      <c r="B27">
        <v>22197</v>
      </c>
      <c r="C27" t="s">
        <v>82</v>
      </c>
      <c r="D27">
        <v>576172</v>
      </c>
      <c r="E27">
        <v>100</v>
      </c>
      <c r="F27">
        <v>0.72</v>
      </c>
      <c r="J27" t="s">
        <v>74</v>
      </c>
    </row>
    <row r="28" spans="1:10" x14ac:dyDescent="0.6">
      <c r="A28">
        <v>15482</v>
      </c>
      <c r="B28">
        <v>22197</v>
      </c>
      <c r="C28" t="s">
        <v>82</v>
      </c>
      <c r="D28">
        <v>578358</v>
      </c>
      <c r="E28">
        <v>200</v>
      </c>
      <c r="F28">
        <v>0.72</v>
      </c>
      <c r="G28" t="s">
        <v>71</v>
      </c>
      <c r="H28">
        <v>-200</v>
      </c>
      <c r="I28">
        <v>0.72</v>
      </c>
      <c r="J28" t="s">
        <v>72</v>
      </c>
    </row>
    <row r="29" spans="1:10" x14ac:dyDescent="0.6">
      <c r="A29">
        <v>15482</v>
      </c>
      <c r="B29">
        <v>22197</v>
      </c>
      <c r="C29" t="s">
        <v>82</v>
      </c>
      <c r="D29">
        <v>578365</v>
      </c>
      <c r="E29">
        <v>100</v>
      </c>
      <c r="F29">
        <v>0.72</v>
      </c>
      <c r="J29" t="s">
        <v>74</v>
      </c>
    </row>
    <row r="30" spans="1:10" x14ac:dyDescent="0.6">
      <c r="A30">
        <v>15482</v>
      </c>
      <c r="B30">
        <v>22423</v>
      </c>
      <c r="C30" t="s">
        <v>43</v>
      </c>
      <c r="G30" t="s">
        <v>83</v>
      </c>
      <c r="H30">
        <v>-24</v>
      </c>
      <c r="I30">
        <v>10.95</v>
      </c>
      <c r="J30" t="s">
        <v>84</v>
      </c>
    </row>
    <row r="31" spans="1:10" x14ac:dyDescent="0.6">
      <c r="A31">
        <v>15482</v>
      </c>
      <c r="B31">
        <v>22423</v>
      </c>
      <c r="C31" t="s">
        <v>43</v>
      </c>
      <c r="G31" t="s">
        <v>81</v>
      </c>
      <c r="H31">
        <v>-24</v>
      </c>
      <c r="I31">
        <v>10.95</v>
      </c>
      <c r="J31" t="s">
        <v>84</v>
      </c>
    </row>
    <row r="32" spans="1:10" x14ac:dyDescent="0.6">
      <c r="A32">
        <v>15482</v>
      </c>
      <c r="B32">
        <v>22423</v>
      </c>
      <c r="C32" t="s">
        <v>43</v>
      </c>
      <c r="D32">
        <v>539092</v>
      </c>
      <c r="E32">
        <v>16</v>
      </c>
      <c r="F32">
        <v>10.95</v>
      </c>
      <c r="J32" t="s">
        <v>74</v>
      </c>
    </row>
    <row r="33" spans="1:10" x14ac:dyDescent="0.6">
      <c r="A33">
        <v>15482</v>
      </c>
      <c r="B33">
        <v>22423</v>
      </c>
      <c r="C33" t="s">
        <v>43</v>
      </c>
      <c r="D33">
        <v>548697</v>
      </c>
      <c r="E33">
        <v>16</v>
      </c>
      <c r="F33">
        <v>10.95</v>
      </c>
      <c r="J33" t="s">
        <v>74</v>
      </c>
    </row>
    <row r="34" spans="1:10" x14ac:dyDescent="0.6">
      <c r="A34">
        <v>15482</v>
      </c>
      <c r="B34">
        <v>22423</v>
      </c>
      <c r="C34" t="s">
        <v>43</v>
      </c>
      <c r="D34">
        <v>574319</v>
      </c>
      <c r="E34">
        <v>48</v>
      </c>
      <c r="F34">
        <v>10.95</v>
      </c>
      <c r="J34" t="s">
        <v>74</v>
      </c>
    </row>
    <row r="35" spans="1:10" x14ac:dyDescent="0.6">
      <c r="A35">
        <v>15482</v>
      </c>
      <c r="B35">
        <v>22423</v>
      </c>
      <c r="C35" t="s">
        <v>43</v>
      </c>
      <c r="D35">
        <v>578358</v>
      </c>
      <c r="E35">
        <v>12</v>
      </c>
      <c r="F35">
        <v>12.75</v>
      </c>
      <c r="G35" t="s">
        <v>71</v>
      </c>
      <c r="H35">
        <v>-12</v>
      </c>
      <c r="I35">
        <v>12.75</v>
      </c>
      <c r="J35" t="s">
        <v>72</v>
      </c>
    </row>
    <row r="36" spans="1:10" x14ac:dyDescent="0.6">
      <c r="A36">
        <v>15482</v>
      </c>
      <c r="B36">
        <v>22423</v>
      </c>
      <c r="C36" t="s">
        <v>43</v>
      </c>
      <c r="D36">
        <v>578365</v>
      </c>
      <c r="E36">
        <v>6</v>
      </c>
      <c r="F36">
        <v>10.95</v>
      </c>
      <c r="J36" t="s">
        <v>74</v>
      </c>
    </row>
    <row r="37" spans="1:10" x14ac:dyDescent="0.6">
      <c r="A37">
        <v>15482</v>
      </c>
      <c r="B37">
        <v>22457</v>
      </c>
      <c r="C37" t="s">
        <v>85</v>
      </c>
      <c r="D37">
        <v>558126</v>
      </c>
      <c r="E37">
        <v>12</v>
      </c>
      <c r="F37">
        <v>2.95</v>
      </c>
      <c r="J37" t="s">
        <v>74</v>
      </c>
    </row>
    <row r="38" spans="1:10" x14ac:dyDescent="0.6">
      <c r="A38">
        <v>15482</v>
      </c>
      <c r="B38">
        <v>22752</v>
      </c>
      <c r="C38" t="s">
        <v>86</v>
      </c>
      <c r="D38">
        <v>576137</v>
      </c>
      <c r="E38">
        <v>24</v>
      </c>
      <c r="F38">
        <v>7.65</v>
      </c>
      <c r="J38" t="s">
        <v>74</v>
      </c>
    </row>
    <row r="39" spans="1:10" x14ac:dyDescent="0.6">
      <c r="A39">
        <v>15482</v>
      </c>
      <c r="B39">
        <v>22752</v>
      </c>
      <c r="C39" t="s">
        <v>86</v>
      </c>
      <c r="D39">
        <v>576172</v>
      </c>
      <c r="E39">
        <v>24</v>
      </c>
      <c r="F39">
        <v>7.65</v>
      </c>
      <c r="J39" t="s">
        <v>74</v>
      </c>
    </row>
    <row r="40" spans="1:10" x14ac:dyDescent="0.6">
      <c r="A40">
        <v>15482</v>
      </c>
      <c r="B40">
        <v>22804</v>
      </c>
      <c r="C40" t="s">
        <v>87</v>
      </c>
      <c r="D40">
        <v>558126</v>
      </c>
      <c r="E40">
        <v>32</v>
      </c>
      <c r="F40">
        <v>2.5499999999999998</v>
      </c>
      <c r="J40" t="s">
        <v>74</v>
      </c>
    </row>
    <row r="41" spans="1:10" x14ac:dyDescent="0.6">
      <c r="A41">
        <v>15482</v>
      </c>
      <c r="B41">
        <v>22804</v>
      </c>
      <c r="C41" t="s">
        <v>88</v>
      </c>
      <c r="D41">
        <v>578358</v>
      </c>
      <c r="E41">
        <v>160</v>
      </c>
      <c r="F41">
        <v>2.5499999999999998</v>
      </c>
      <c r="G41" t="s">
        <v>71</v>
      </c>
      <c r="H41">
        <v>-160</v>
      </c>
      <c r="I41">
        <v>2.5499999999999998</v>
      </c>
      <c r="J41" t="s">
        <v>72</v>
      </c>
    </row>
    <row r="42" spans="1:10" x14ac:dyDescent="0.6">
      <c r="A42">
        <v>15482</v>
      </c>
      <c r="B42">
        <v>22804</v>
      </c>
      <c r="C42" t="s">
        <v>88</v>
      </c>
      <c r="D42">
        <v>578365</v>
      </c>
      <c r="E42">
        <v>160</v>
      </c>
      <c r="F42">
        <v>1</v>
      </c>
      <c r="J42" t="s">
        <v>74</v>
      </c>
    </row>
    <row r="43" spans="1:10" x14ac:dyDescent="0.6">
      <c r="A43">
        <v>15482</v>
      </c>
      <c r="B43">
        <v>22835</v>
      </c>
      <c r="C43" t="s">
        <v>89</v>
      </c>
      <c r="D43">
        <v>576137</v>
      </c>
      <c r="E43">
        <v>24</v>
      </c>
      <c r="F43">
        <v>4.25</v>
      </c>
      <c r="G43" t="s">
        <v>71</v>
      </c>
      <c r="H43">
        <v>-24</v>
      </c>
      <c r="I43">
        <v>4.25</v>
      </c>
      <c r="J43" t="s">
        <v>72</v>
      </c>
    </row>
    <row r="44" spans="1:10" x14ac:dyDescent="0.6">
      <c r="A44">
        <v>15482</v>
      </c>
      <c r="B44">
        <v>22835</v>
      </c>
      <c r="C44" t="s">
        <v>89</v>
      </c>
      <c r="D44">
        <v>576172</v>
      </c>
      <c r="E44">
        <v>24</v>
      </c>
      <c r="F44">
        <v>4.25</v>
      </c>
      <c r="G44" t="s">
        <v>71</v>
      </c>
      <c r="H44">
        <v>-24</v>
      </c>
      <c r="I44">
        <v>4.25</v>
      </c>
      <c r="J44" t="s">
        <v>72</v>
      </c>
    </row>
    <row r="45" spans="1:10" x14ac:dyDescent="0.6">
      <c r="A45">
        <v>15482</v>
      </c>
      <c r="B45">
        <v>22835</v>
      </c>
      <c r="C45" t="s">
        <v>89</v>
      </c>
      <c r="D45">
        <v>578358</v>
      </c>
      <c r="E45">
        <v>24</v>
      </c>
      <c r="F45">
        <v>4.25</v>
      </c>
      <c r="G45" t="s">
        <v>71</v>
      </c>
      <c r="H45">
        <v>-24</v>
      </c>
      <c r="I45">
        <v>4.25</v>
      </c>
      <c r="J45" t="s">
        <v>72</v>
      </c>
    </row>
    <row r="46" spans="1:10" x14ac:dyDescent="0.6">
      <c r="A46">
        <v>15482</v>
      </c>
      <c r="B46">
        <v>22835</v>
      </c>
      <c r="C46" t="s">
        <v>89</v>
      </c>
      <c r="D46">
        <v>578365</v>
      </c>
      <c r="E46">
        <v>12</v>
      </c>
      <c r="F46">
        <v>4.25</v>
      </c>
      <c r="J46" t="s">
        <v>74</v>
      </c>
    </row>
    <row r="47" spans="1:10" x14ac:dyDescent="0.6">
      <c r="A47">
        <v>15482</v>
      </c>
      <c r="B47">
        <v>23055</v>
      </c>
      <c r="C47" t="s">
        <v>90</v>
      </c>
      <c r="D47">
        <v>572348</v>
      </c>
      <c r="E47">
        <v>48</v>
      </c>
      <c r="F47">
        <v>1</v>
      </c>
      <c r="G47" t="s">
        <v>91</v>
      </c>
      <c r="H47">
        <v>-48</v>
      </c>
      <c r="I47">
        <v>1</v>
      </c>
      <c r="J47" t="s">
        <v>72</v>
      </c>
    </row>
    <row r="48" spans="1:10" x14ac:dyDescent="0.6">
      <c r="A48">
        <v>15482</v>
      </c>
      <c r="B48">
        <v>23055</v>
      </c>
      <c r="C48" t="s">
        <v>90</v>
      </c>
      <c r="D48">
        <v>572756</v>
      </c>
      <c r="E48">
        <v>48</v>
      </c>
      <c r="F48">
        <v>1</v>
      </c>
      <c r="G48" t="s">
        <v>91</v>
      </c>
      <c r="H48">
        <v>-48</v>
      </c>
      <c r="I48">
        <v>1</v>
      </c>
      <c r="J48" t="s">
        <v>72</v>
      </c>
    </row>
    <row r="49" spans="1:10" x14ac:dyDescent="0.6">
      <c r="A49">
        <v>15482</v>
      </c>
      <c r="B49">
        <v>23056</v>
      </c>
      <c r="C49" t="s">
        <v>92</v>
      </c>
      <c r="D49">
        <v>572348</v>
      </c>
      <c r="E49">
        <v>48</v>
      </c>
      <c r="F49">
        <v>1</v>
      </c>
      <c r="G49" t="s">
        <v>91</v>
      </c>
      <c r="H49">
        <v>-48</v>
      </c>
      <c r="I49">
        <v>1</v>
      </c>
      <c r="J49" t="s">
        <v>72</v>
      </c>
    </row>
    <row r="50" spans="1:10" x14ac:dyDescent="0.6">
      <c r="A50">
        <v>15482</v>
      </c>
      <c r="B50">
        <v>23056</v>
      </c>
      <c r="C50" t="s">
        <v>92</v>
      </c>
      <c r="D50">
        <v>572756</v>
      </c>
      <c r="E50">
        <v>48</v>
      </c>
      <c r="F50">
        <v>1</v>
      </c>
      <c r="G50" t="s">
        <v>91</v>
      </c>
      <c r="H50">
        <v>-48</v>
      </c>
      <c r="I50">
        <v>1</v>
      </c>
      <c r="J50" t="s">
        <v>72</v>
      </c>
    </row>
    <row r="51" spans="1:10" x14ac:dyDescent="0.6">
      <c r="A51">
        <v>15482</v>
      </c>
      <c r="B51">
        <v>23057</v>
      </c>
      <c r="C51" t="s">
        <v>93</v>
      </c>
      <c r="D51">
        <v>572348</v>
      </c>
      <c r="E51">
        <v>48</v>
      </c>
      <c r="F51">
        <v>1</v>
      </c>
      <c r="G51" t="s">
        <v>91</v>
      </c>
      <c r="H51">
        <v>-48</v>
      </c>
      <c r="I51">
        <v>1</v>
      </c>
      <c r="J51" t="s">
        <v>72</v>
      </c>
    </row>
    <row r="52" spans="1:10" x14ac:dyDescent="0.6">
      <c r="A52">
        <v>15482</v>
      </c>
      <c r="B52">
        <v>23057</v>
      </c>
      <c r="C52" t="s">
        <v>93</v>
      </c>
      <c r="D52">
        <v>572756</v>
      </c>
      <c r="E52">
        <v>48</v>
      </c>
      <c r="F52">
        <v>1</v>
      </c>
      <c r="G52" t="s">
        <v>91</v>
      </c>
      <c r="H52">
        <v>-48</v>
      </c>
      <c r="I52">
        <v>1</v>
      </c>
      <c r="J52" t="s">
        <v>72</v>
      </c>
    </row>
    <row r="53" spans="1:10" x14ac:dyDescent="0.6">
      <c r="A53">
        <v>15482</v>
      </c>
      <c r="B53">
        <v>23065</v>
      </c>
      <c r="C53" t="s">
        <v>94</v>
      </c>
      <c r="D53">
        <v>558126</v>
      </c>
      <c r="E53">
        <v>3</v>
      </c>
      <c r="F53">
        <v>12.5</v>
      </c>
      <c r="J53" t="s">
        <v>74</v>
      </c>
    </row>
    <row r="54" spans="1:10" x14ac:dyDescent="0.6">
      <c r="A54">
        <v>15482</v>
      </c>
      <c r="B54">
        <v>23071</v>
      </c>
      <c r="C54" t="s">
        <v>95</v>
      </c>
      <c r="D54">
        <v>572348</v>
      </c>
      <c r="E54">
        <v>24</v>
      </c>
      <c r="F54">
        <v>3</v>
      </c>
      <c r="G54" t="s">
        <v>91</v>
      </c>
      <c r="H54">
        <v>-24</v>
      </c>
      <c r="I54">
        <v>3</v>
      </c>
      <c r="J54" t="s">
        <v>72</v>
      </c>
    </row>
    <row r="55" spans="1:10" x14ac:dyDescent="0.6">
      <c r="A55">
        <v>15482</v>
      </c>
      <c r="B55">
        <v>23071</v>
      </c>
      <c r="C55" t="s">
        <v>95</v>
      </c>
      <c r="D55">
        <v>572756</v>
      </c>
      <c r="E55">
        <v>48</v>
      </c>
      <c r="F55">
        <v>1.5</v>
      </c>
      <c r="J55" t="s">
        <v>74</v>
      </c>
    </row>
    <row r="56" spans="1:10" x14ac:dyDescent="0.6">
      <c r="A56">
        <v>15482</v>
      </c>
      <c r="B56">
        <v>23072</v>
      </c>
      <c r="C56" t="s">
        <v>96</v>
      </c>
      <c r="D56">
        <v>572348</v>
      </c>
      <c r="E56">
        <v>24</v>
      </c>
      <c r="F56">
        <v>3</v>
      </c>
      <c r="G56" t="s">
        <v>91</v>
      </c>
      <c r="H56">
        <v>-24</v>
      </c>
      <c r="I56">
        <v>3</v>
      </c>
      <c r="J56" t="s">
        <v>72</v>
      </c>
    </row>
    <row r="57" spans="1:10" x14ac:dyDescent="0.6">
      <c r="A57">
        <v>15482</v>
      </c>
      <c r="B57">
        <v>23072</v>
      </c>
      <c r="C57" t="s">
        <v>96</v>
      </c>
      <c r="D57">
        <v>572756</v>
      </c>
      <c r="E57">
        <v>48</v>
      </c>
      <c r="F57">
        <v>1.5</v>
      </c>
      <c r="J57" t="s">
        <v>74</v>
      </c>
    </row>
    <row r="58" spans="1:10" x14ac:dyDescent="0.6">
      <c r="A58">
        <v>15482</v>
      </c>
      <c r="B58">
        <v>23084</v>
      </c>
      <c r="C58" t="s">
        <v>47</v>
      </c>
      <c r="D58">
        <v>576137</v>
      </c>
      <c r="E58">
        <v>24</v>
      </c>
      <c r="F58">
        <v>1.79</v>
      </c>
      <c r="J58" t="s">
        <v>74</v>
      </c>
    </row>
    <row r="59" spans="1:10" x14ac:dyDescent="0.6">
      <c r="A59">
        <v>15482</v>
      </c>
      <c r="B59">
        <v>23203</v>
      </c>
      <c r="C59" t="s">
        <v>97</v>
      </c>
      <c r="D59">
        <v>576137</v>
      </c>
      <c r="E59">
        <v>100</v>
      </c>
      <c r="F59">
        <v>1.79</v>
      </c>
      <c r="J59" t="s">
        <v>74</v>
      </c>
    </row>
    <row r="60" spans="1:10" x14ac:dyDescent="0.6">
      <c r="A60">
        <v>15482</v>
      </c>
      <c r="B60">
        <v>23344</v>
      </c>
      <c r="C60" t="s">
        <v>98</v>
      </c>
      <c r="D60">
        <v>576137</v>
      </c>
      <c r="E60">
        <v>100</v>
      </c>
      <c r="F60">
        <v>1.79</v>
      </c>
      <c r="J60" t="s">
        <v>74</v>
      </c>
    </row>
    <row r="61" spans="1:10" x14ac:dyDescent="0.6">
      <c r="A61">
        <v>15482</v>
      </c>
      <c r="B61">
        <v>23355</v>
      </c>
      <c r="C61" t="s">
        <v>99</v>
      </c>
      <c r="D61">
        <v>576137</v>
      </c>
      <c r="E61">
        <v>24</v>
      </c>
      <c r="F61">
        <v>4.1500000000000004</v>
      </c>
      <c r="G61" t="s">
        <v>71</v>
      </c>
      <c r="H61">
        <v>-24</v>
      </c>
      <c r="I61">
        <v>4.1500000000000004</v>
      </c>
      <c r="J61" t="s">
        <v>72</v>
      </c>
    </row>
    <row r="62" spans="1:10" x14ac:dyDescent="0.6">
      <c r="A62">
        <v>15482</v>
      </c>
      <c r="B62">
        <v>23355</v>
      </c>
      <c r="C62" t="s">
        <v>99</v>
      </c>
      <c r="D62">
        <v>576172</v>
      </c>
      <c r="E62">
        <v>24</v>
      </c>
      <c r="F62">
        <v>4.1500000000000004</v>
      </c>
      <c r="G62" t="s">
        <v>71</v>
      </c>
      <c r="H62">
        <v>-24</v>
      </c>
      <c r="I62">
        <v>4.1500000000000004</v>
      </c>
      <c r="J62" t="s">
        <v>72</v>
      </c>
    </row>
    <row r="63" spans="1:10" x14ac:dyDescent="0.6">
      <c r="A63">
        <v>15482</v>
      </c>
      <c r="B63">
        <v>23355</v>
      </c>
      <c r="C63" t="s">
        <v>99</v>
      </c>
      <c r="D63">
        <v>578358</v>
      </c>
      <c r="E63">
        <v>24</v>
      </c>
      <c r="F63">
        <v>4.1500000000000004</v>
      </c>
      <c r="G63" t="s">
        <v>71</v>
      </c>
      <c r="H63">
        <v>-24</v>
      </c>
      <c r="I63">
        <v>4.1500000000000004</v>
      </c>
      <c r="J63" t="s">
        <v>72</v>
      </c>
    </row>
    <row r="64" spans="1:10" x14ac:dyDescent="0.6">
      <c r="A64">
        <v>15482</v>
      </c>
      <c r="B64">
        <v>23355</v>
      </c>
      <c r="C64" t="s">
        <v>99</v>
      </c>
      <c r="D64">
        <v>578365</v>
      </c>
      <c r="E64">
        <v>12</v>
      </c>
      <c r="F64">
        <v>4.1500000000000004</v>
      </c>
      <c r="J64" t="s">
        <v>74</v>
      </c>
    </row>
    <row r="65" spans="1:10" x14ac:dyDescent="0.6">
      <c r="A65">
        <v>15482</v>
      </c>
      <c r="B65">
        <v>23358</v>
      </c>
      <c r="C65" t="s">
        <v>100</v>
      </c>
      <c r="D65">
        <v>576137</v>
      </c>
      <c r="E65">
        <v>24</v>
      </c>
      <c r="F65">
        <v>3.75</v>
      </c>
      <c r="J65" t="s">
        <v>74</v>
      </c>
    </row>
    <row r="66" spans="1:10" x14ac:dyDescent="0.6">
      <c r="A66">
        <v>15482</v>
      </c>
      <c r="B66">
        <v>23393</v>
      </c>
      <c r="C66" t="s">
        <v>101</v>
      </c>
      <c r="D66">
        <v>576172</v>
      </c>
      <c r="E66">
        <v>24</v>
      </c>
      <c r="F66">
        <v>3.75</v>
      </c>
      <c r="J66" t="s">
        <v>74</v>
      </c>
    </row>
    <row r="67" spans="1:10" x14ac:dyDescent="0.6">
      <c r="A67">
        <v>15482</v>
      </c>
      <c r="B67">
        <v>23395</v>
      </c>
      <c r="C67" t="s">
        <v>102</v>
      </c>
      <c r="D67">
        <v>576172</v>
      </c>
      <c r="E67">
        <v>12</v>
      </c>
      <c r="F67">
        <v>3.29</v>
      </c>
      <c r="J67" t="s">
        <v>74</v>
      </c>
    </row>
    <row r="68" spans="1:10" x14ac:dyDescent="0.6">
      <c r="A68">
        <v>15482</v>
      </c>
      <c r="B68">
        <v>23396</v>
      </c>
      <c r="C68" t="s">
        <v>103</v>
      </c>
      <c r="D68">
        <v>576172</v>
      </c>
      <c r="E68">
        <v>12</v>
      </c>
      <c r="F68">
        <v>3.29</v>
      </c>
      <c r="J68" t="s">
        <v>74</v>
      </c>
    </row>
    <row r="69" spans="1:10" x14ac:dyDescent="0.6">
      <c r="A69">
        <v>15482</v>
      </c>
      <c r="B69">
        <v>23397</v>
      </c>
      <c r="C69" t="s">
        <v>104</v>
      </c>
      <c r="D69">
        <v>576172</v>
      </c>
      <c r="E69">
        <v>12</v>
      </c>
      <c r="F69">
        <v>8.15</v>
      </c>
      <c r="J69" t="s">
        <v>74</v>
      </c>
    </row>
    <row r="70" spans="1:10" x14ac:dyDescent="0.6">
      <c r="A70">
        <v>15482</v>
      </c>
      <c r="B70" t="s">
        <v>105</v>
      </c>
      <c r="C70" t="s">
        <v>106</v>
      </c>
      <c r="D70">
        <v>539092</v>
      </c>
      <c r="E70">
        <v>6</v>
      </c>
      <c r="F70">
        <v>2</v>
      </c>
      <c r="J70" t="s">
        <v>74</v>
      </c>
    </row>
    <row r="71" spans="1:10" x14ac:dyDescent="0.6">
      <c r="A71">
        <v>15482</v>
      </c>
      <c r="B71" t="s">
        <v>107</v>
      </c>
      <c r="C71" t="s">
        <v>108</v>
      </c>
      <c r="D71">
        <v>539092</v>
      </c>
      <c r="E71">
        <v>6</v>
      </c>
      <c r="F71">
        <v>2</v>
      </c>
      <c r="J71" t="s">
        <v>74</v>
      </c>
    </row>
    <row r="72" spans="1:10" x14ac:dyDescent="0.6">
      <c r="A72">
        <v>15482</v>
      </c>
      <c r="B72" t="s">
        <v>109</v>
      </c>
      <c r="C72" t="s">
        <v>110</v>
      </c>
      <c r="D72">
        <v>539093</v>
      </c>
      <c r="E72">
        <v>20</v>
      </c>
      <c r="F72">
        <v>1.55</v>
      </c>
      <c r="J72" t="s">
        <v>74</v>
      </c>
    </row>
    <row r="73" spans="1:10" x14ac:dyDescent="0.6">
      <c r="A73">
        <v>15482</v>
      </c>
      <c r="B73" t="s">
        <v>109</v>
      </c>
      <c r="C73" t="s">
        <v>110</v>
      </c>
      <c r="D73">
        <v>548697</v>
      </c>
      <c r="E73">
        <v>20</v>
      </c>
      <c r="F73">
        <v>1.55</v>
      </c>
      <c r="J73" t="s">
        <v>74</v>
      </c>
    </row>
    <row r="74" spans="1:10" x14ac:dyDescent="0.6">
      <c r="A74">
        <v>15482</v>
      </c>
      <c r="B74" t="s">
        <v>109</v>
      </c>
      <c r="C74" t="s">
        <v>110</v>
      </c>
      <c r="D74">
        <v>576172</v>
      </c>
      <c r="E74">
        <v>24</v>
      </c>
      <c r="F74">
        <v>1.55</v>
      </c>
      <c r="J74" t="s">
        <v>74</v>
      </c>
    </row>
    <row r="75" spans="1:10" x14ac:dyDescent="0.6">
      <c r="A75">
        <v>15482</v>
      </c>
      <c r="B75" t="s">
        <v>111</v>
      </c>
      <c r="C75" t="s">
        <v>112</v>
      </c>
      <c r="D75">
        <v>572348</v>
      </c>
      <c r="E75">
        <v>36</v>
      </c>
      <c r="F75">
        <v>1</v>
      </c>
      <c r="G75" t="s">
        <v>91</v>
      </c>
      <c r="H75">
        <v>-36</v>
      </c>
      <c r="I75">
        <v>1</v>
      </c>
      <c r="J75" t="s">
        <v>72</v>
      </c>
    </row>
    <row r="76" spans="1:10" x14ac:dyDescent="0.6">
      <c r="A76">
        <v>15482</v>
      </c>
      <c r="B76" t="s">
        <v>111</v>
      </c>
      <c r="C76" t="s">
        <v>112</v>
      </c>
      <c r="D76">
        <v>572756</v>
      </c>
      <c r="E76">
        <v>72</v>
      </c>
      <c r="F76">
        <v>0.5</v>
      </c>
      <c r="J76" t="s">
        <v>74</v>
      </c>
    </row>
    <row r="77" spans="1:10" x14ac:dyDescent="0.6">
      <c r="A77">
        <v>15482</v>
      </c>
      <c r="B77" t="s">
        <v>111</v>
      </c>
      <c r="C77" t="s">
        <v>112</v>
      </c>
      <c r="D77">
        <v>574319</v>
      </c>
      <c r="E77">
        <v>162</v>
      </c>
      <c r="F77">
        <v>1</v>
      </c>
      <c r="G77" t="s">
        <v>81</v>
      </c>
      <c r="H77">
        <v>-162</v>
      </c>
      <c r="I77">
        <v>1</v>
      </c>
      <c r="J77" t="s">
        <v>72</v>
      </c>
    </row>
    <row r="78" spans="1:10" x14ac:dyDescent="0.6">
      <c r="A78">
        <v>15482</v>
      </c>
      <c r="B78" t="s">
        <v>113</v>
      </c>
      <c r="C78" t="s">
        <v>114</v>
      </c>
      <c r="D78">
        <v>572348</v>
      </c>
      <c r="E78">
        <v>36</v>
      </c>
      <c r="F78">
        <v>1</v>
      </c>
      <c r="G78" t="s">
        <v>91</v>
      </c>
      <c r="H78">
        <v>-36</v>
      </c>
      <c r="I78">
        <v>1</v>
      </c>
      <c r="J78" t="s">
        <v>72</v>
      </c>
    </row>
    <row r="79" spans="1:10" x14ac:dyDescent="0.6">
      <c r="A79">
        <v>15482</v>
      </c>
      <c r="B79" t="s">
        <v>113</v>
      </c>
      <c r="C79" t="s">
        <v>114</v>
      </c>
      <c r="D79">
        <v>572756</v>
      </c>
      <c r="E79">
        <v>72</v>
      </c>
      <c r="F79">
        <v>0.5</v>
      </c>
      <c r="J79" t="s">
        <v>74</v>
      </c>
    </row>
    <row r="80" spans="1:10" x14ac:dyDescent="0.6">
      <c r="A80">
        <v>15482</v>
      </c>
      <c r="B80" t="s">
        <v>113</v>
      </c>
      <c r="C80" t="s">
        <v>114</v>
      </c>
      <c r="D80">
        <v>574319</v>
      </c>
      <c r="E80">
        <v>180</v>
      </c>
      <c r="F80">
        <v>1</v>
      </c>
      <c r="G80" t="s">
        <v>81</v>
      </c>
      <c r="H80">
        <v>-180</v>
      </c>
      <c r="I80">
        <v>1</v>
      </c>
      <c r="J80" t="s">
        <v>72</v>
      </c>
    </row>
    <row r="81" spans="1:10" x14ac:dyDescent="0.6">
      <c r="A81">
        <v>15482</v>
      </c>
      <c r="B81">
        <v>82482</v>
      </c>
      <c r="C81" t="s">
        <v>115</v>
      </c>
      <c r="D81">
        <v>548697</v>
      </c>
      <c r="E81">
        <v>36</v>
      </c>
      <c r="F81">
        <v>2.1</v>
      </c>
      <c r="J81" t="s">
        <v>74</v>
      </c>
    </row>
    <row r="82" spans="1:10" x14ac:dyDescent="0.6">
      <c r="A82">
        <v>15482</v>
      </c>
      <c r="B82">
        <v>82482</v>
      </c>
      <c r="C82" t="s">
        <v>115</v>
      </c>
      <c r="D82">
        <v>558126</v>
      </c>
      <c r="E82">
        <v>72</v>
      </c>
      <c r="F82">
        <v>2.1</v>
      </c>
      <c r="J82" t="s">
        <v>74</v>
      </c>
    </row>
    <row r="83" spans="1:10" x14ac:dyDescent="0.6">
      <c r="A83">
        <v>15482</v>
      </c>
      <c r="B83">
        <v>82482</v>
      </c>
      <c r="C83" t="s">
        <v>115</v>
      </c>
      <c r="D83">
        <v>574319</v>
      </c>
      <c r="E83">
        <v>72</v>
      </c>
      <c r="F83">
        <v>2.5499999999999998</v>
      </c>
      <c r="G83" t="s">
        <v>81</v>
      </c>
      <c r="H83">
        <v>-72</v>
      </c>
      <c r="I83">
        <v>2.5499999999999998</v>
      </c>
      <c r="J83" t="s">
        <v>72</v>
      </c>
    </row>
    <row r="84" spans="1:10" x14ac:dyDescent="0.6">
      <c r="A84">
        <v>15482</v>
      </c>
      <c r="B84">
        <v>82483</v>
      </c>
      <c r="C84" t="s">
        <v>116</v>
      </c>
      <c r="D84">
        <v>558126</v>
      </c>
      <c r="E84">
        <v>4</v>
      </c>
      <c r="F84">
        <v>6.89</v>
      </c>
      <c r="J84" t="s">
        <v>74</v>
      </c>
    </row>
    <row r="85" spans="1:10" x14ac:dyDescent="0.6">
      <c r="A85">
        <v>15482</v>
      </c>
      <c r="B85">
        <v>82483</v>
      </c>
      <c r="C85" t="s">
        <v>116</v>
      </c>
      <c r="D85">
        <v>574319</v>
      </c>
      <c r="E85">
        <v>32</v>
      </c>
      <c r="F85">
        <v>5.95</v>
      </c>
      <c r="G85" t="s">
        <v>81</v>
      </c>
      <c r="H85">
        <v>-32</v>
      </c>
      <c r="I85">
        <v>5.95</v>
      </c>
      <c r="J85" t="s">
        <v>72</v>
      </c>
    </row>
    <row r="86" spans="1:10" x14ac:dyDescent="0.6">
      <c r="A86">
        <v>15482</v>
      </c>
      <c r="B86">
        <v>82486</v>
      </c>
      <c r="C86" t="s">
        <v>117</v>
      </c>
      <c r="D86">
        <v>574319</v>
      </c>
      <c r="E86">
        <v>24</v>
      </c>
      <c r="F86">
        <v>8.15</v>
      </c>
      <c r="G86" t="s">
        <v>81</v>
      </c>
      <c r="H86">
        <v>-24</v>
      </c>
      <c r="I86">
        <v>8.15</v>
      </c>
      <c r="J86" t="s">
        <v>72</v>
      </c>
    </row>
    <row r="87" spans="1:10" x14ac:dyDescent="0.6">
      <c r="A87">
        <v>15482</v>
      </c>
      <c r="B87" t="s">
        <v>118</v>
      </c>
      <c r="C87" t="s">
        <v>119</v>
      </c>
      <c r="D87">
        <v>558126</v>
      </c>
      <c r="E87">
        <v>48</v>
      </c>
      <c r="F87">
        <v>2.5499999999999998</v>
      </c>
      <c r="G87" t="s">
        <v>81</v>
      </c>
      <c r="H87">
        <v>-48</v>
      </c>
      <c r="I87">
        <v>2.5499999999999998</v>
      </c>
      <c r="J87" t="s">
        <v>72</v>
      </c>
    </row>
    <row r="88" spans="1:10" x14ac:dyDescent="0.6">
      <c r="A88">
        <v>15482</v>
      </c>
      <c r="B88" t="s">
        <v>118</v>
      </c>
      <c r="C88" t="s">
        <v>119</v>
      </c>
      <c r="D88">
        <v>558126</v>
      </c>
      <c r="E88">
        <v>48</v>
      </c>
      <c r="F88">
        <v>2.5499999999999998</v>
      </c>
      <c r="G88" t="s">
        <v>71</v>
      </c>
      <c r="H88">
        <v>-48</v>
      </c>
      <c r="I88">
        <v>2.5499999999999998</v>
      </c>
      <c r="J88" t="s">
        <v>72</v>
      </c>
    </row>
    <row r="89" spans="1:10" x14ac:dyDescent="0.6">
      <c r="A89">
        <v>15482</v>
      </c>
      <c r="B89" t="s">
        <v>118</v>
      </c>
      <c r="C89" t="s">
        <v>119</v>
      </c>
      <c r="D89">
        <v>574319</v>
      </c>
      <c r="E89">
        <v>48</v>
      </c>
      <c r="F89">
        <v>2.5499999999999998</v>
      </c>
      <c r="G89" t="s">
        <v>81</v>
      </c>
      <c r="H89">
        <v>-48</v>
      </c>
      <c r="I89">
        <v>2.5499999999999998</v>
      </c>
      <c r="J89" t="s">
        <v>72</v>
      </c>
    </row>
    <row r="90" spans="1:10" x14ac:dyDescent="0.6">
      <c r="A90">
        <v>15482</v>
      </c>
      <c r="B90" t="s">
        <v>118</v>
      </c>
      <c r="C90" t="s">
        <v>119</v>
      </c>
      <c r="D90">
        <v>574319</v>
      </c>
      <c r="E90">
        <v>48</v>
      </c>
      <c r="F90">
        <v>2.5499999999999998</v>
      </c>
      <c r="G90" t="s">
        <v>71</v>
      </c>
      <c r="H90">
        <v>-48</v>
      </c>
      <c r="I90">
        <v>2.5499999999999998</v>
      </c>
      <c r="J90" t="s">
        <v>72</v>
      </c>
    </row>
    <row r="91" spans="1:10" x14ac:dyDescent="0.6">
      <c r="A91">
        <v>15482</v>
      </c>
      <c r="B91" t="s">
        <v>118</v>
      </c>
      <c r="C91" t="s">
        <v>119</v>
      </c>
      <c r="D91">
        <v>576137</v>
      </c>
      <c r="E91">
        <v>48</v>
      </c>
      <c r="F91">
        <v>2.5499999999999998</v>
      </c>
      <c r="G91" t="s">
        <v>81</v>
      </c>
      <c r="H91">
        <v>-48</v>
      </c>
      <c r="I91">
        <v>2.5499999999999998</v>
      </c>
      <c r="J91" t="s">
        <v>72</v>
      </c>
    </row>
    <row r="92" spans="1:10" x14ac:dyDescent="0.6">
      <c r="A92">
        <v>15482</v>
      </c>
      <c r="B92" t="s">
        <v>118</v>
      </c>
      <c r="C92" t="s">
        <v>119</v>
      </c>
      <c r="D92">
        <v>576137</v>
      </c>
      <c r="E92">
        <v>48</v>
      </c>
      <c r="F92">
        <v>2.5499999999999998</v>
      </c>
      <c r="G92" t="s">
        <v>71</v>
      </c>
      <c r="H92">
        <v>-48</v>
      </c>
      <c r="I92">
        <v>2.5499999999999998</v>
      </c>
      <c r="J92" t="s">
        <v>72</v>
      </c>
    </row>
    <row r="93" spans="1:10" x14ac:dyDescent="0.6">
      <c r="A93">
        <v>15482</v>
      </c>
      <c r="B93" t="s">
        <v>118</v>
      </c>
      <c r="C93" t="s">
        <v>119</v>
      </c>
      <c r="D93">
        <v>576172</v>
      </c>
      <c r="E93">
        <v>48</v>
      </c>
      <c r="F93">
        <v>2.5499999999999998</v>
      </c>
      <c r="G93" t="s">
        <v>81</v>
      </c>
      <c r="H93">
        <v>-48</v>
      </c>
      <c r="I93">
        <v>2.5499999999999998</v>
      </c>
      <c r="J93" t="s">
        <v>72</v>
      </c>
    </row>
    <row r="94" spans="1:10" x14ac:dyDescent="0.6">
      <c r="A94">
        <v>15482</v>
      </c>
      <c r="B94" t="s">
        <v>118</v>
      </c>
      <c r="C94" t="s">
        <v>119</v>
      </c>
      <c r="D94">
        <v>576172</v>
      </c>
      <c r="E94">
        <v>48</v>
      </c>
      <c r="F94">
        <v>2.5499999999999998</v>
      </c>
      <c r="G94" t="s">
        <v>71</v>
      </c>
      <c r="H94">
        <v>-48</v>
      </c>
      <c r="I94">
        <v>2.5499999999999998</v>
      </c>
      <c r="J94" t="s">
        <v>72</v>
      </c>
    </row>
    <row r="95" spans="1:10" x14ac:dyDescent="0.6">
      <c r="A95">
        <v>15482</v>
      </c>
      <c r="B95" t="s">
        <v>118</v>
      </c>
      <c r="C95" t="s">
        <v>119</v>
      </c>
      <c r="D95">
        <v>578358</v>
      </c>
      <c r="E95">
        <v>48</v>
      </c>
      <c r="F95">
        <v>2.5499999999999998</v>
      </c>
      <c r="G95" t="s">
        <v>81</v>
      </c>
      <c r="H95">
        <v>-48</v>
      </c>
      <c r="I95">
        <v>2.5499999999999998</v>
      </c>
      <c r="J95" t="s">
        <v>72</v>
      </c>
    </row>
    <row r="96" spans="1:10" x14ac:dyDescent="0.6">
      <c r="A96">
        <v>15482</v>
      </c>
      <c r="B96" t="s">
        <v>118</v>
      </c>
      <c r="C96" t="s">
        <v>119</v>
      </c>
      <c r="D96">
        <v>578358</v>
      </c>
      <c r="E96">
        <v>48</v>
      </c>
      <c r="F96">
        <v>2.5499999999999998</v>
      </c>
      <c r="G96" t="s">
        <v>71</v>
      </c>
      <c r="H96">
        <v>-48</v>
      </c>
      <c r="I96">
        <v>2.5499999999999998</v>
      </c>
      <c r="J96" t="s">
        <v>72</v>
      </c>
    </row>
    <row r="97" spans="1:10" x14ac:dyDescent="0.6">
      <c r="A97">
        <v>15482</v>
      </c>
      <c r="B97" t="s">
        <v>118</v>
      </c>
      <c r="C97" t="s">
        <v>119</v>
      </c>
      <c r="D97">
        <v>578365</v>
      </c>
      <c r="E97">
        <v>48</v>
      </c>
      <c r="F97">
        <v>2.5499999999999998</v>
      </c>
      <c r="G97" t="s">
        <v>81</v>
      </c>
      <c r="H97">
        <v>-48</v>
      </c>
      <c r="I97">
        <v>2.5499999999999998</v>
      </c>
      <c r="J97" t="s">
        <v>72</v>
      </c>
    </row>
    <row r="98" spans="1:10" x14ac:dyDescent="0.6">
      <c r="A98">
        <v>15482</v>
      </c>
      <c r="B98" t="s">
        <v>118</v>
      </c>
      <c r="C98" t="s">
        <v>119</v>
      </c>
      <c r="D98">
        <v>578365</v>
      </c>
      <c r="E98">
        <v>48</v>
      </c>
      <c r="F98">
        <v>2.5499999999999998</v>
      </c>
      <c r="G98" t="s">
        <v>71</v>
      </c>
      <c r="H98">
        <v>-48</v>
      </c>
      <c r="I98">
        <v>2.5499999999999998</v>
      </c>
      <c r="J98" t="s">
        <v>72</v>
      </c>
    </row>
    <row r="99" spans="1:10" x14ac:dyDescent="0.6">
      <c r="A99">
        <v>15482</v>
      </c>
      <c r="B99" t="s">
        <v>120</v>
      </c>
      <c r="C99" t="s">
        <v>121</v>
      </c>
      <c r="D99">
        <v>576172</v>
      </c>
      <c r="E99">
        <v>24</v>
      </c>
      <c r="F99">
        <v>3.75</v>
      </c>
      <c r="J99" t="s">
        <v>74</v>
      </c>
    </row>
    <row r="100" spans="1:10" x14ac:dyDescent="0.6">
      <c r="A100">
        <v>15482</v>
      </c>
      <c r="B100">
        <v>84946</v>
      </c>
      <c r="C100" t="s">
        <v>122</v>
      </c>
      <c r="D100">
        <v>539092</v>
      </c>
      <c r="E100">
        <v>72</v>
      </c>
      <c r="F100">
        <v>1.06</v>
      </c>
      <c r="J100" t="s">
        <v>74</v>
      </c>
    </row>
    <row r="101" spans="1:10" x14ac:dyDescent="0.6">
      <c r="A101">
        <v>15482</v>
      </c>
      <c r="B101">
        <v>84947</v>
      </c>
      <c r="C101" t="s">
        <v>123</v>
      </c>
      <c r="D101">
        <v>539092</v>
      </c>
      <c r="E101">
        <v>72</v>
      </c>
      <c r="F101">
        <v>1.06</v>
      </c>
      <c r="J101" t="s">
        <v>74</v>
      </c>
    </row>
    <row r="102" spans="1:10" x14ac:dyDescent="0.6">
      <c r="A102">
        <v>15482</v>
      </c>
      <c r="B102" t="s">
        <v>124</v>
      </c>
      <c r="C102" t="s">
        <v>125</v>
      </c>
      <c r="D102">
        <v>574319</v>
      </c>
      <c r="E102">
        <v>180</v>
      </c>
      <c r="F102">
        <v>1</v>
      </c>
      <c r="G102" t="s">
        <v>81</v>
      </c>
      <c r="H102">
        <v>-180</v>
      </c>
      <c r="I102">
        <v>1</v>
      </c>
      <c r="J102" t="s">
        <v>72</v>
      </c>
    </row>
    <row r="103" spans="1:10" x14ac:dyDescent="0.6">
      <c r="A103">
        <v>15482</v>
      </c>
      <c r="B103" t="s">
        <v>126</v>
      </c>
      <c r="C103" t="s">
        <v>127</v>
      </c>
      <c r="D103">
        <v>576137</v>
      </c>
      <c r="E103">
        <v>100</v>
      </c>
      <c r="F103">
        <v>1.79</v>
      </c>
      <c r="J103" t="s">
        <v>74</v>
      </c>
    </row>
    <row r="104" spans="1:10" x14ac:dyDescent="0.6">
      <c r="A104">
        <v>15482</v>
      </c>
      <c r="B104" t="s">
        <v>128</v>
      </c>
      <c r="C104" t="s">
        <v>44</v>
      </c>
      <c r="D104">
        <v>548697</v>
      </c>
      <c r="E104">
        <v>64</v>
      </c>
      <c r="F104">
        <v>2.5499999999999998</v>
      </c>
      <c r="J104" t="s">
        <v>74</v>
      </c>
    </row>
    <row r="105" spans="1:10" x14ac:dyDescent="0.6">
      <c r="A105">
        <v>15482</v>
      </c>
      <c r="B105" t="s">
        <v>128</v>
      </c>
      <c r="C105" t="s">
        <v>44</v>
      </c>
      <c r="D105">
        <v>558126</v>
      </c>
      <c r="E105">
        <v>64</v>
      </c>
      <c r="F105">
        <v>2.5499999999999998</v>
      </c>
      <c r="J105" t="s">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48B8A19-82DE-42A3-B979-4DD029DA2172}">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C3339603-1345-4B27-B9DC-EDEF49DE96FF}">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B800002D-516D-4F0F-B98C-9DAD159B10D3}">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vt:lpstr>
      <vt:lpstr>Revenue Month</vt:lpstr>
      <vt:lpstr>Revenue Country</vt:lpstr>
      <vt:lpstr>Top10 products</vt:lpstr>
      <vt:lpstr>Top5 cusotmers</vt:lpstr>
      <vt:lpstr>Top10 customers cancellation</vt:lpstr>
      <vt:lpstr>cancellation rate customer</vt:lpstr>
      <vt:lpstr>15482 csutome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Chao Long Xu</dc:creator>
  <cp:lastModifiedBy>Chao Long Xu</cp:lastModifiedBy>
  <dcterms:created xsi:type="dcterms:W3CDTF">2026-10-06T13:38:01Z</dcterms:created>
  <dcterms:modified xsi:type="dcterms:W3CDTF">2026-10-08T09:42:43Z</dcterms:modified>
</cp:coreProperties>
</file>